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uninter-my.sharepoint.com/personal/victor_d_uninter_com/Documents/Base Resumida/EQUIPE/"/>
    </mc:Choice>
  </mc:AlternateContent>
  <xr:revisionPtr revIDLastSave="516" documentId="8_{0CA80346-CD64-4288-B02D-54F719C8ABBD}" xr6:coauthVersionLast="47" xr6:coauthVersionMax="47" xr10:uidLastSave="{FC142B6C-5136-429F-A12A-0D226C2E75AF}"/>
  <bookViews>
    <workbookView xWindow="28680" yWindow="-105" windowWidth="29040" windowHeight="15720" xr2:uid="{D0BE619D-A118-4C43-9367-271D608EE3B1}"/>
  </bookViews>
  <sheets>
    <sheet name="COLABS" sheetId="1" r:id="rId1"/>
    <sheet name="AVANC" sheetId="3" r:id="rId2"/>
    <sheet name="INÍCIO" sheetId="16" r:id="rId3"/>
    <sheet name="Planilha1" sheetId="5" r:id="rId4"/>
    <sheet name="MARCOS" sheetId="15" r:id="rId5"/>
    <sheet name="ADOILSON LIMA DO NASCIMENTO" sheetId="6" r:id="rId6"/>
    <sheet name="ANGELYCA FRANÇA DE OLIVEIRA" sheetId="7" r:id="rId7"/>
    <sheet name="ERICE RENATO NAVARROS OPIMI" sheetId="8" r:id="rId8"/>
    <sheet name="GENILSON FELICIO" sheetId="9" r:id="rId9"/>
    <sheet name="GUSTAVO LAGO DO NASCIMENTO" sheetId="10" r:id="rId10"/>
    <sheet name="SABRINA RIBEIRO DIAS" sheetId="11" r:id="rId11"/>
    <sheet name="AMANDA - DIEGO - TELE" sheetId="12" r:id="rId12"/>
    <sheet name="TODOS" sheetId="17" r:id="rId13"/>
  </sheets>
  <externalReferences>
    <externalReference r:id="rId14"/>
  </externalReferences>
  <definedNames>
    <definedName name="_xlnm._FilterDatabase" localSheetId="0" hidden="1">COLABS!$A$1:$G$327</definedName>
    <definedName name="_xlcn.WorksheetConnection_EQUIPECOMPLETACOBETELE.xlsxTabela21" hidden="1">Tabela2[]</definedName>
    <definedName name="SegmentaçãodeDados_EQUIPE">#N/A</definedName>
    <definedName name="SegmentaçãodeDados_SIT._ATUAL">#N/A</definedName>
  </definedNames>
  <calcPr calcId="191029"/>
  <pivotCaches>
    <pivotCache cacheId="0" r:id="rId15"/>
  </pivotCaches>
  <extLst>
    <ext xmlns:x14="http://schemas.microsoft.com/office/spreadsheetml/2009/9/main" uri="{876F7934-8845-4945-9796-88D515C7AA90}">
      <x14:pivotCaches>
        <pivotCache cacheId="1" r:id="rId16"/>
      </x14:pivotCaches>
    </ext>
    <ext xmlns:x14="http://schemas.microsoft.com/office/spreadsheetml/2009/9/main" uri="{BBE1A952-AA13-448e-AADC-164F8A28A991}">
      <x14:slicerCaches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ODOS_COLABORADORES_27f42128-8368-42b2-b88b-fd5948ee2ed4" name="TODOS_COLABORADORES" connection="Consulta - TODOS_COLABORADORES"/>
          <x15:modelTable id="Tabela2" name="Tabela2" connection="WorksheetConnection_EQUIPE COMPLETA COB E TELE.xlsx!Tabela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7" l="1"/>
  <c r="D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G3" i="1"/>
  <c r="C3" i="17" s="1"/>
  <c r="G4" i="1"/>
  <c r="C4" i="17" s="1"/>
  <c r="G5" i="1"/>
  <c r="C5" i="17" s="1"/>
  <c r="G6" i="1"/>
  <c r="C6" i="17" s="1"/>
  <c r="G7" i="1"/>
  <c r="C7" i="17" s="1"/>
  <c r="G8" i="1"/>
  <c r="C8" i="17" s="1"/>
  <c r="G9" i="1"/>
  <c r="C9" i="17" s="1"/>
  <c r="G10" i="1"/>
  <c r="C10" i="17" s="1"/>
  <c r="G11" i="1"/>
  <c r="C11" i="17" s="1"/>
  <c r="G12" i="1"/>
  <c r="C12" i="17" s="1"/>
  <c r="G13" i="1"/>
  <c r="C13" i="17" s="1"/>
  <c r="G14" i="1"/>
  <c r="C14" i="17" s="1"/>
  <c r="G15" i="1"/>
  <c r="C15" i="17" s="1"/>
  <c r="G16" i="1"/>
  <c r="C16" i="17" s="1"/>
  <c r="G17" i="1"/>
  <c r="C17" i="17" s="1"/>
  <c r="G18" i="1"/>
  <c r="C18" i="17" s="1"/>
  <c r="G19" i="1"/>
  <c r="C19" i="17" s="1"/>
  <c r="G20" i="1"/>
  <c r="C20" i="17" s="1"/>
  <c r="G21" i="1"/>
  <c r="C21" i="17" s="1"/>
  <c r="G22" i="1"/>
  <c r="C22" i="17" s="1"/>
  <c r="G23" i="1"/>
  <c r="C23" i="17" s="1"/>
  <c r="G24" i="1"/>
  <c r="C24" i="17" s="1"/>
  <c r="G25" i="1"/>
  <c r="C25" i="17" s="1"/>
  <c r="G26" i="1"/>
  <c r="C26" i="17" s="1"/>
  <c r="G27" i="1"/>
  <c r="C27" i="17" s="1"/>
  <c r="G28" i="1"/>
  <c r="C28" i="17" s="1"/>
  <c r="G29" i="1"/>
  <c r="C29" i="17" s="1"/>
  <c r="G30" i="1"/>
  <c r="C30" i="17" s="1"/>
  <c r="G31" i="1"/>
  <c r="C31" i="17" s="1"/>
  <c r="G32" i="1"/>
  <c r="C32" i="17" s="1"/>
  <c r="G33" i="1"/>
  <c r="C33" i="17" s="1"/>
  <c r="G34" i="1"/>
  <c r="C34" i="17" s="1"/>
  <c r="G35" i="1"/>
  <c r="C35" i="17" s="1"/>
  <c r="G36" i="1"/>
  <c r="C36" i="17" s="1"/>
  <c r="G37" i="1"/>
  <c r="C37" i="17" s="1"/>
  <c r="G38" i="1"/>
  <c r="C38" i="17" s="1"/>
  <c r="G39" i="1"/>
  <c r="C39" i="17" s="1"/>
  <c r="G40" i="1"/>
  <c r="C40" i="17" s="1"/>
  <c r="G41" i="1"/>
  <c r="C41" i="17" s="1"/>
  <c r="G42" i="1"/>
  <c r="C42" i="17" s="1"/>
  <c r="G43" i="1"/>
  <c r="C43" i="17" s="1"/>
  <c r="G44" i="1"/>
  <c r="C44" i="17" s="1"/>
  <c r="G45" i="1"/>
  <c r="C45" i="17" s="1"/>
  <c r="G46" i="1"/>
  <c r="C46" i="17" s="1"/>
  <c r="G47" i="1"/>
  <c r="C47" i="17" s="1"/>
  <c r="G48" i="1"/>
  <c r="C48" i="17" s="1"/>
  <c r="G49" i="1"/>
  <c r="C49" i="17" s="1"/>
  <c r="G50" i="1"/>
  <c r="C50" i="17" s="1"/>
  <c r="G51" i="1"/>
  <c r="C51" i="17" s="1"/>
  <c r="G52" i="1"/>
  <c r="C52" i="17" s="1"/>
  <c r="G53" i="1"/>
  <c r="C53" i="17" s="1"/>
  <c r="G54" i="1"/>
  <c r="C54" i="17" s="1"/>
  <c r="G55" i="1"/>
  <c r="C55" i="17" s="1"/>
  <c r="G56" i="1"/>
  <c r="C56" i="17" s="1"/>
  <c r="G57" i="1"/>
  <c r="C57" i="17" s="1"/>
  <c r="G58" i="1"/>
  <c r="C58" i="17" s="1"/>
  <c r="G59" i="1"/>
  <c r="C59" i="17" s="1"/>
  <c r="G60" i="1"/>
  <c r="C60" i="17" s="1"/>
  <c r="G61" i="1"/>
  <c r="C61" i="17" s="1"/>
  <c r="G62" i="1"/>
  <c r="C62" i="17" s="1"/>
  <c r="G63" i="1"/>
  <c r="C63" i="17" s="1"/>
  <c r="G64" i="1"/>
  <c r="C64" i="17" s="1"/>
  <c r="G65" i="1"/>
  <c r="C65" i="17" s="1"/>
  <c r="G66" i="1"/>
  <c r="C66" i="17" s="1"/>
  <c r="G67" i="1"/>
  <c r="C67" i="17" s="1"/>
  <c r="G68" i="1"/>
  <c r="C68" i="17" s="1"/>
  <c r="G69" i="1"/>
  <c r="C69" i="17" s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2" i="1"/>
  <c r="C2" i="17" s="1"/>
  <c r="K12" i="1"/>
  <c r="K30" i="1"/>
  <c r="K25" i="1"/>
  <c r="K31" i="1"/>
  <c r="K2" i="1"/>
  <c r="K37" i="1"/>
  <c r="K38" i="1"/>
  <c r="K19" i="1"/>
  <c r="K9" i="1"/>
  <c r="K64" i="1"/>
  <c r="K3" i="1"/>
  <c r="K4" i="1"/>
  <c r="K13" i="1"/>
  <c r="K44" i="1"/>
  <c r="K65" i="1"/>
  <c r="K16" i="1"/>
  <c r="K45" i="1"/>
  <c r="K5" i="1"/>
  <c r="K20" i="1"/>
  <c r="K6" i="1"/>
  <c r="K7" i="1"/>
  <c r="K14" i="1"/>
  <c r="K39" i="1"/>
  <c r="K40" i="1"/>
  <c r="K42" i="1"/>
  <c r="K26" i="1"/>
  <c r="K66" i="1"/>
  <c r="K24" i="1"/>
  <c r="K8" i="1"/>
  <c r="K67" i="1"/>
  <c r="K43" i="1"/>
  <c r="K68" i="1"/>
  <c r="K46" i="1"/>
  <c r="K21" i="1"/>
  <c r="K48" i="1"/>
  <c r="K27" i="1"/>
  <c r="K49" i="1"/>
  <c r="K32" i="1"/>
  <c r="K15" i="1"/>
  <c r="K41" i="1"/>
  <c r="K17" i="1"/>
  <c r="K28" i="1"/>
  <c r="K10" i="1"/>
  <c r="K50" i="1"/>
  <c r="K69" i="1"/>
  <c r="K47" i="1"/>
  <c r="K22" i="1"/>
  <c r="K23" i="1"/>
  <c r="K33" i="1"/>
  <c r="K34" i="1"/>
  <c r="K29" i="1"/>
  <c r="K11" i="1"/>
  <c r="K51" i="1"/>
  <c r="K35" i="1"/>
  <c r="K52" i="1"/>
  <c r="K18" i="1"/>
  <c r="K36" i="1"/>
  <c r="K53" i="1"/>
  <c r="K54" i="1"/>
  <c r="K55" i="1"/>
  <c r="K56" i="1"/>
  <c r="K57" i="1"/>
  <c r="K58" i="1"/>
  <c r="K59" i="1"/>
  <c r="K60" i="1"/>
  <c r="K61" i="1"/>
  <c r="K62" i="1"/>
  <c r="K63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G6" i="16" l="1"/>
  <c r="G7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3A7191-2BD9-4A28-B28C-B7451780EE2C}" keepAlive="1" name="Consulta - ADOILSON" description="Conexão com a consulta 'ADOILSON' na pasta de trabalho." type="5" refreshedVersion="0" background="1">
    <dbPr connection="Provider=Microsoft.Mashup.OleDb.1;Data Source=$Workbook$;Location=ADOILSON;Extended Properties=&quot;&quot;" command="SELECT * FROM [ADOILSON]"/>
  </connection>
  <connection id="2" xr16:uid="{9F03BA9F-0F0D-4D57-BD9E-3A799080914C}" keepAlive="1" name="Consulta - AMANDA/DIEGO" description="Conexão com a consulta 'AMANDA/DIEGO' na pasta de trabalho." type="5" refreshedVersion="0" background="1">
    <dbPr connection="Provider=Microsoft.Mashup.OleDb.1;Data Source=$Workbook$;Location=AMANDA/DIEGO;Extended Properties=&quot;&quot;" command="SELECT * FROM [AMANDA/DIEGO]"/>
  </connection>
  <connection id="3" xr16:uid="{2990426D-EB66-4930-91B4-AF0CA9E436F6}" keepAlive="1" name="Consulta - ANGELICA" description="Conexão com a consulta 'ANGELICA' na pasta de trabalho." type="5" refreshedVersion="0" background="1">
    <dbPr connection="Provider=Microsoft.Mashup.OleDb.1;Data Source=$Workbook$;Location=ANGELICA;Extended Properties=&quot;&quot;" command="SELECT * FROM [ANGELICA]"/>
  </connection>
  <connection id="4" xr16:uid="{F4D6EB32-82E6-48B9-AD2A-23E9DAB9539F}" keepAlive="1" name="Consulta - ERICE" description="Conexão com a consulta 'ERICE' na pasta de trabalho." type="5" refreshedVersion="0" background="1">
    <dbPr connection="Provider=Microsoft.Mashup.OleDb.1;Data Source=$Workbook$;Location=ERICE;Extended Properties=&quot;&quot;" command="SELECT * FROM [ERICE]"/>
  </connection>
  <connection id="5" xr16:uid="{5A78AD7C-30B8-47C0-A2B6-84A128905A98}" keepAlive="1" name="Consulta - GENILSON" description="Conexão com a consulta 'GENILSON' na pasta de trabalho." type="5" refreshedVersion="0" background="1">
    <dbPr connection="Provider=Microsoft.Mashup.OleDb.1;Data Source=$Workbook$;Location=GENILSON;Extended Properties=&quot;&quot;" command="SELECT * FROM [GENILSON]"/>
  </connection>
  <connection id="6" xr16:uid="{DF8D014D-F3F2-48BC-A8BB-03F5AB30E8ED}" keepAlive="1" name="Consulta - GUSTAVO" description="Conexão com a consulta 'GUSTAVO' na pasta de trabalho." type="5" refreshedVersion="0" background="1">
    <dbPr connection="Provider=Microsoft.Mashup.OleDb.1;Data Source=$Workbook$;Location=GUSTAVO;Extended Properties=&quot;&quot;" command="SELECT * FROM [GUSTAVO]"/>
  </connection>
  <connection id="7" xr16:uid="{D9C6CBCB-5577-4B07-ACA3-D69104676DE0}" keepAlive="1" name="Consulta - SABRINA" description="Conexão com a consulta 'SABRINA' na pasta de trabalho." type="5" refreshedVersion="0" background="1">
    <dbPr connection="Provider=Microsoft.Mashup.OleDb.1;Data Source=$Workbook$;Location=SABRINA;Extended Properties=&quot;&quot;" command="SELECT * FROM [SABRINA]"/>
  </connection>
  <connection id="8" xr16:uid="{485D0339-4E4D-49D6-89D6-A84FC0C07206}" name="Consulta - TODOS_COLABORADORES" description="Conexão com a consulta 'TODOS_COLABORADORES' na pasta de trabalho." type="100" refreshedVersion="8" minRefreshableVersion="5">
    <extLst>
      <ext xmlns:x15="http://schemas.microsoft.com/office/spreadsheetml/2010/11/main" uri="{DE250136-89BD-433C-8126-D09CA5730AF9}">
        <x15:connection id="fa61169d-a6fe-4d15-934b-46549018491a"/>
      </ext>
    </extLst>
  </connection>
  <connection id="9" xr16:uid="{D21E1BBF-6153-4FDF-B197-D17047A78818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BE901B3D-740A-4FB4-9606-B576FA43FC8F}" name="WorksheetConnection_EQUIPE COMPLETA COB E TELE.xlsx!Tabela2" type="102" refreshedVersion="8" minRefreshableVersion="5">
    <extLst>
      <ext xmlns:x15="http://schemas.microsoft.com/office/spreadsheetml/2010/11/main" uri="{DE250136-89BD-433C-8126-D09CA5730AF9}">
        <x15:connection id="Tabela2" autoDelete="1">
          <x15:rangePr sourceName="_xlcn.WorksheetConnection_EQUIPECOMPLETACOBETELE.xlsxTabela21"/>
        </x15:connection>
      </ext>
    </extLst>
  </connection>
</connections>
</file>

<file path=xl/sharedStrings.xml><?xml version="1.0" encoding="utf-8"?>
<sst xmlns="http://schemas.openxmlformats.org/spreadsheetml/2006/main" count="2234" uniqueCount="372">
  <si>
    <t>Nome</t>
  </si>
  <si>
    <t>RU</t>
  </si>
  <si>
    <t>MATRICULA</t>
  </si>
  <si>
    <t>PAULA ARIELI CARVALHO BORGES</t>
  </si>
  <si>
    <t>FRANCISCA GOMES COUTINHO</t>
  </si>
  <si>
    <t>STEFANY DA SILVA GOMES</t>
  </si>
  <si>
    <t>ADOILSON LIMA DO NASCIMENTO</t>
  </si>
  <si>
    <t>ANDRIELLE FERNANDES</t>
  </si>
  <si>
    <t>THIAGO WILLIAN BORGES OLIVEIRA</t>
  </si>
  <si>
    <t>FABIANO TEMISKI MUNIZ</t>
  </si>
  <si>
    <t>ANA PAULA PIMENTEL SOARES MOCHNACZ</t>
  </si>
  <si>
    <t>VINICIOS HENRARD</t>
  </si>
  <si>
    <t>THACIANE APARECIDA OTKA</t>
  </si>
  <si>
    <t>SANDRO OLIVEIRA CLITON BEZERRA</t>
  </si>
  <si>
    <t>BARBARA YUMI LEMOS KIKUCHI RIBEIRO</t>
  </si>
  <si>
    <t>ANDRE LUIS BIANCHI</t>
  </si>
  <si>
    <t>ANA GABRIELE DA SILVA COSTA</t>
  </si>
  <si>
    <t>LAERTES DE PAULA AFONSO JUNIOR</t>
  </si>
  <si>
    <t>PATRICK WALLAN RODRIGUES SUTIL</t>
  </si>
  <si>
    <t>ANTONIO CARLOS ALVES PINHEIRO</t>
  </si>
  <si>
    <t>DIEGO ANDREATTA PEREIRA</t>
  </si>
  <si>
    <t>DALINE VIEIRA DE MOURA LISBOA</t>
  </si>
  <si>
    <t>WALBER JEFFERSON GONCALVES</t>
  </si>
  <si>
    <t>ADRIANE FERREIRA DOS SANTOS</t>
  </si>
  <si>
    <t>ALEXANDRE SILVEIRA</t>
  </si>
  <si>
    <t>DAYANE NAYARA RUFINO LIMA</t>
  </si>
  <si>
    <t>ALEXANDRE CUARTES DA SILVA</t>
  </si>
  <si>
    <t>FRANCIELE DA CONCEICAO DOS SANTOS</t>
  </si>
  <si>
    <t>WILLIAN PEDROSO DO ROSARIO</t>
  </si>
  <si>
    <t>MICHELLE CRISTINA DE CAMARGO COUTINHO</t>
  </si>
  <si>
    <t>MANOEL FELIPE DA CRUZ</t>
  </si>
  <si>
    <t>KRYSTHAL CRISTINE DA SILVA HEIN</t>
  </si>
  <si>
    <t>LUIZ HENRIQUE NEUMANN DE FREITAS</t>
  </si>
  <si>
    <t>ROBSON OLIVEIRA SOUZA</t>
  </si>
  <si>
    <t>VINICIUS EDUARDO BARAUSE</t>
  </si>
  <si>
    <t>GENILSON FELICIO</t>
  </si>
  <si>
    <t>CARLOS DANILO PACHECO</t>
  </si>
  <si>
    <t>LEANDRO CAVALCANTE LIMA</t>
  </si>
  <si>
    <t>VICTOR HUGO ZANELLA DIAS</t>
  </si>
  <si>
    <t>ERICE RENATO NAVARROS OPIMI</t>
  </si>
  <si>
    <t>AMANDA CRISTINA DE OLIVEIRA</t>
  </si>
  <si>
    <t>ANA CRISTINA DE JESUS MACEDO DE FREITAS</t>
  </si>
  <si>
    <t>DAIANE PRISCILA SAIVISCH</t>
  </si>
  <si>
    <t>CELSO GEFFER</t>
  </si>
  <si>
    <t>CRISTINA ALVES SCHNABEL</t>
  </si>
  <si>
    <t>REBECA SOARES FERREIRA</t>
  </si>
  <si>
    <t>ANGELYCA FRANÇA DE OLIVEIRA</t>
  </si>
  <si>
    <t>CIBELE CRISTINA DA SILVA COSTA</t>
  </si>
  <si>
    <t>ALINE APARECIDA DE ANDRADE</t>
  </si>
  <si>
    <t>GUSTAVO LAGO DO NASCIMENTO</t>
  </si>
  <si>
    <t>ANA PAULA DE SOUZA SEZRAIBER</t>
  </si>
  <si>
    <t>ANA PAULA FERREIRA</t>
  </si>
  <si>
    <t>SUELEN SAMPAIO DA COSTA</t>
  </si>
  <si>
    <t>DANIELE DA SILVEIRA GUTSTEIN MASSAROTTO</t>
  </si>
  <si>
    <t>THAINA LARISSA PEREIRA DA SILVA</t>
  </si>
  <si>
    <t>EVELYN GONCALVES DOS SANTOS FERREIRA</t>
  </si>
  <si>
    <t>RAFAEL DOS SANTOS ALMEIDA OLIVEIRA</t>
  </si>
  <si>
    <t>CARLA SUSAN SANTOS DE SOUZA</t>
  </si>
  <si>
    <t>LETICIA MINOSSO CARVALHO</t>
  </si>
  <si>
    <t>SABRINA RIBEIRO DIAS</t>
  </si>
  <si>
    <t>KAROLINE RODRIGUES KURTEN</t>
  </si>
  <si>
    <t>LARISSA LIMA DA SILVA TEIXEIRA</t>
  </si>
  <si>
    <t>THIAGO VICENTE GONZAGA PONTES</t>
  </si>
  <si>
    <t>NATASHA DE LIMA DO NASCIMENTO</t>
  </si>
  <si>
    <t>MARINETE MARTIELHO SOARES</t>
  </si>
  <si>
    <t>BRUNA STEFFANIE LIMA GUIMARAES</t>
  </si>
  <si>
    <t>TATIANE MARIA DALCIM ANTUNES</t>
  </si>
  <si>
    <t>AVANÇADO</t>
  </si>
  <si>
    <t>ADOILSON</t>
  </si>
  <si>
    <t>FÉRIAS</t>
  </si>
  <si>
    <t>ANGELYCA</t>
  </si>
  <si>
    <t>ERICE</t>
  </si>
  <si>
    <t>GENILSON</t>
  </si>
  <si>
    <t>GUSTAVO</t>
  </si>
  <si>
    <t>SABRINA</t>
  </si>
  <si>
    <t>TIPO</t>
  </si>
  <si>
    <t>AVANÇADO TELE</t>
  </si>
  <si>
    <t>MONITOR</t>
  </si>
  <si>
    <t>AMANDA/DIEGO</t>
  </si>
  <si>
    <t>SIT. ATUAL</t>
  </si>
  <si>
    <t>ATIVO</t>
  </si>
  <si>
    <t>SENHA</t>
  </si>
  <si>
    <t>CARGO</t>
  </si>
  <si>
    <t>ASSISTENTE</t>
  </si>
  <si>
    <t>ANALISTA</t>
  </si>
  <si>
    <t>ADVOGADO</t>
  </si>
  <si>
    <t>MARCOS</t>
  </si>
  <si>
    <t>REPORTE</t>
  </si>
  <si>
    <t>Nome_Colaborador</t>
  </si>
  <si>
    <t>ASSISTENTE_TELE</t>
  </si>
  <si>
    <t>METAS</t>
  </si>
  <si>
    <t>SIM</t>
  </si>
  <si>
    <t>NÃO</t>
  </si>
  <si>
    <t>ANNA SARAH GOMES MACENA DA SIVA</t>
  </si>
  <si>
    <t>DATA_RETORNO</t>
  </si>
  <si>
    <t>EQUIPE</t>
  </si>
  <si>
    <t>ANA CLARA TERLECKI VITORINO DOS SANTOS</t>
  </si>
  <si>
    <t>LEONARDO ALMEIDA DE ANDRADE</t>
  </si>
  <si>
    <t>MARCOS LOURENCO DA FONSECA</t>
  </si>
  <si>
    <t>GESTOR</t>
  </si>
  <si>
    <t>AMANDA SCHULHAN DE SOUZA</t>
  </si>
  <si>
    <t>MARISTELA PRUCH PORTELLA</t>
  </si>
  <si>
    <t>DANIEL CORDEIRO FARIA</t>
  </si>
  <si>
    <t>THAIS ALCANTARA DE SOUZA FALK</t>
  </si>
  <si>
    <t>HICARO FELIPE DOS SANTOS DA LUZ</t>
  </si>
  <si>
    <t>ROGER ECKERMANN CARDOSO</t>
  </si>
  <si>
    <t>WILLIAN LANGER DE FRANCA</t>
  </si>
  <si>
    <t>ELAINE BUNIK</t>
  </si>
  <si>
    <t>ERICK RICARDO ILIANO PIECZARKA</t>
  </si>
  <si>
    <t>EMERSON ALVES</t>
  </si>
  <si>
    <t>ANA PAULA LAGE</t>
  </si>
  <si>
    <t>FRANCIELE DA CRUZ WALDEMIRO</t>
  </si>
  <si>
    <t>FRANCISCO PEDRO ALVES DE ARAÚJO</t>
  </si>
  <si>
    <t>SUELEN DE MELO</t>
  </si>
  <si>
    <t>JULIANA DALEFFE</t>
  </si>
  <si>
    <t>Acordo Online</t>
  </si>
  <si>
    <t>DARCI SAVIO DIAS</t>
  </si>
  <si>
    <t>DANIELLE DOS SANTOS QUEIROZ DE OLIVEIRA</t>
  </si>
  <si>
    <t>MISLAINE FATIMA LIMA PEREIRA</t>
  </si>
  <si>
    <t>FABIANO DO ROSARIO BUENO</t>
  </si>
  <si>
    <t>ALAN JOHNNES DA SILVA</t>
  </si>
  <si>
    <t>WUELLYTON DE SOUZA OLIVEIRA</t>
  </si>
  <si>
    <t>THAINA TULASI DE TURIN E ALKMIM PEREIRA</t>
  </si>
  <si>
    <t>JAMALIE INAYA MARQUES</t>
  </si>
  <si>
    <t>PEDRO HENRIQUE BRISOLA CABRAL</t>
  </si>
  <si>
    <t>LESLIEL MOISES CARVALHO MONZANI</t>
  </si>
  <si>
    <t>ALEXANDRE PAIS MACOPPI</t>
  </si>
  <si>
    <t>GEORGE FERNANDO DE OLIVEIRA MARTINS</t>
  </si>
  <si>
    <t>GUILHERME GEOVANI VIEIRA DOS SANTOS</t>
  </si>
  <si>
    <t>ALEXANDRE HENRIQUE ASSUMPÇÃO</t>
  </si>
  <si>
    <t>ANA ELISA MARANHAO SANTOS</t>
  </si>
  <si>
    <t>JANINE WLODARSKI</t>
  </si>
  <si>
    <t>MATHEUS XAVIER DE ALMEIDA</t>
  </si>
  <si>
    <t>FABIO AUGUSTO DE OLIVEIRA</t>
  </si>
  <si>
    <t>ALEXIA JULIANA DA SILVA</t>
  </si>
  <si>
    <t>ROSANA SALETE DE SOUZA MACHADO</t>
  </si>
  <si>
    <t>ANA MARIA DA SILVA CARDOSO</t>
  </si>
  <si>
    <t>JAMAL DOS SANTOS</t>
  </si>
  <si>
    <t>JOSUÉ HOSSEL SEMKIW</t>
  </si>
  <si>
    <t>AMANDA JULY ANNE GAGNO</t>
  </si>
  <si>
    <t>LUCAS FARIA SIQUEIRA</t>
  </si>
  <si>
    <t>ALEXSANDER JUSCELINO DOS SANTOS</t>
  </si>
  <si>
    <t>ALISSON FELIPE DE SOUZA</t>
  </si>
  <si>
    <t>OSLEN RODRIGUES GARCIA</t>
  </si>
  <si>
    <t>LANNA PAULA RIBEIRO</t>
  </si>
  <si>
    <t>ANA CLAUDIA TOKARSKI DOS SANTOS</t>
  </si>
  <si>
    <t>ANA CRISTINA MARTINS</t>
  </si>
  <si>
    <t>EDUARDO MERELES KESKOSKI</t>
  </si>
  <si>
    <t>MARIA BENEDITA DOS SANTOS ABADE</t>
  </si>
  <si>
    <t>BRUNO DIAMANTI AVRELLA</t>
  </si>
  <si>
    <t>LILIAN CARMEN DA ROSA KARGER</t>
  </si>
  <si>
    <t>MARCIA SILMARA OLESKOWICZ</t>
  </si>
  <si>
    <t>MAICKO WILLIAN STRYCHALSKI MENEGUETE</t>
  </si>
  <si>
    <t>LUAN HENRIQUE RAMALHO</t>
  </si>
  <si>
    <t>LUIZ EDUARDO ZILLI</t>
  </si>
  <si>
    <t>BRUNO LEMOS SANTOS EVARISTO</t>
  </si>
  <si>
    <t>BRUNO PACIFICO</t>
  </si>
  <si>
    <t>FERNANDO ANTUNES MONTEIRO</t>
  </si>
  <si>
    <t>CARLOS ALEXANDRE MORONA</t>
  </si>
  <si>
    <t>TIAGO CALLEGARI DA SILVA</t>
  </si>
  <si>
    <t>KAUANE TCHEYSE PLOMBON DOS SANTOS</t>
  </si>
  <si>
    <t>LUCIANE ALVES DE PADUA</t>
  </si>
  <si>
    <t>FERNANDO DOROCZ</t>
  </si>
  <si>
    <t>LETICIA BEZERRO</t>
  </si>
  <si>
    <t>CAMILA BIANCO GREIN</t>
  </si>
  <si>
    <t>MONICK GIBIKOSKI</t>
  </si>
  <si>
    <t>CRISTHINE GONÇALVES DE PAULA</t>
  </si>
  <si>
    <t>Cristina Rodrigues da Silva</t>
  </si>
  <si>
    <t>DAIANE JAQUES DE PAULA</t>
  </si>
  <si>
    <t>DEBORA FRANCOA DOS SANTOS</t>
  </si>
  <si>
    <t>DOUGLAS DA SILVA SCHAFER</t>
  </si>
  <si>
    <t>ELIDIA ABREU SILVA</t>
  </si>
  <si>
    <t>EURO KLEBER RAMOS JUNIOR</t>
  </si>
  <si>
    <t>FABIANO BUENO DE ALVARENGA</t>
  </si>
  <si>
    <t>FABIO LUIS RODRIGUES DE LEMOS</t>
  </si>
  <si>
    <t>Fatury Protesto</t>
  </si>
  <si>
    <t>FELIPE ROSSINI CARVALHO</t>
  </si>
  <si>
    <t>GABRIEL FELIPE DO AMARAL SLEDZ</t>
  </si>
  <si>
    <t>EDUARDO PRATES MARTINS</t>
  </si>
  <si>
    <t>GABRIEL VICTOR SANTOS DE PAULA</t>
  </si>
  <si>
    <t>GABRIELE FERNANDES DE SOUZA</t>
  </si>
  <si>
    <t>GILDA APARECIDA DA SILVA</t>
  </si>
  <si>
    <t>HENRIQUE SCARPELLI IGLESIAS VIEIRA</t>
  </si>
  <si>
    <t>HERITON LUIS DA SILVA FRANCO</t>
  </si>
  <si>
    <t>KARYN CRISTINE GROSSMAN PACHECO</t>
  </si>
  <si>
    <t>KEILA DOS SANTOS GONCALVES</t>
  </si>
  <si>
    <t>LUANA CRISTINA NASCIMENTO DA SILVA</t>
  </si>
  <si>
    <t>MAICON JHONE DA ROCHA RODRIGUES</t>
  </si>
  <si>
    <t>MATHEUS VINICIUS ALVES LIMA</t>
  </si>
  <si>
    <t>NEIVA ALVES DA SILVA SANT ANA</t>
  </si>
  <si>
    <t>NEIVA ALVES DA SILVA SANTANA</t>
  </si>
  <si>
    <t>ROSANA BRASILE</t>
  </si>
  <si>
    <t>ROSANGELA SILVERIO ASSUNCAO DE FREITAS</t>
  </si>
  <si>
    <t>SEBASTIAO DE OLIVEIRA PEREIRA NETO</t>
  </si>
  <si>
    <t>SILVIA ROBERTA ECKSTEIN</t>
  </si>
  <si>
    <t>TACYANE LUCIANA MAFRA FONTANA</t>
  </si>
  <si>
    <t>LORAYNE PADILHA CAMPOS</t>
  </si>
  <si>
    <t>WANDER RAGEMINSKI</t>
  </si>
  <si>
    <t>MIRNA ANARA SIQUEIRA LIMA DA SILVA</t>
  </si>
  <si>
    <t>TIAGO LUIS CUSTODIO</t>
  </si>
  <si>
    <t>DIEMESON SOUZA DOS SANTOS</t>
  </si>
  <si>
    <t>PAULO ROBERTO MULLER FILHO</t>
  </si>
  <si>
    <t>WESLEY SILVA DE SOUZA OLIVEIRA</t>
  </si>
  <si>
    <t>AMANDA GLIR PEDROSO</t>
  </si>
  <si>
    <t>TERESINHA MACHADO DA ROSA</t>
  </si>
  <si>
    <t>LARISSA GABRIELLY KAGUIMOTO SIGNORI</t>
  </si>
  <si>
    <t>TALITA LAYANE CHAVES PEREIRA</t>
  </si>
  <si>
    <t>SILVIA ELENA TEIXEIRA ROCHA</t>
  </si>
  <si>
    <t>VITOR HUGO PEREIRA DOS SANTOS</t>
  </si>
  <si>
    <t>LILIAN PREIS</t>
  </si>
  <si>
    <t>CRISTHIELY DA CUNHA</t>
  </si>
  <si>
    <t>DOUGLAS LOPES</t>
  </si>
  <si>
    <t>ROSILENE RODRIGUES MATOS GOUVEIA</t>
  </si>
  <si>
    <t>LEANDRO RAMOS</t>
  </si>
  <si>
    <t>BRUNA APARECIDA VIEIRA</t>
  </si>
  <si>
    <t>DOMINIQUE AKEMY NOGUCHI</t>
  </si>
  <si>
    <t>THAISSA GONCALVES DE OLIVEIRA DO NASCIMENTO</t>
  </si>
  <si>
    <t>ANA PAULA MOREIRA MUNHOZ LIMA</t>
  </si>
  <si>
    <t>GABRIELY PEDROSO FERNANDES</t>
  </si>
  <si>
    <t>AMANDA NASCIMENTO DOS SANTOS</t>
  </si>
  <si>
    <t>JULIANA APARECIDA DA COSTA LEAL</t>
  </si>
  <si>
    <t>GABRIEL GODOY DE MORAIS</t>
  </si>
  <si>
    <t>ALAND MACEDO VICENTE</t>
  </si>
  <si>
    <t>JENNIFER LUANA DUARTE SOARES</t>
  </si>
  <si>
    <t>JULIANO CARLOS DE LIMA FERREIRA</t>
  </si>
  <si>
    <t>MIRIHAN RAQUEL DE OLIVEIRA PONTES</t>
  </si>
  <si>
    <t>ZINEIDE DO ROCIO DE CARVALHO</t>
  </si>
  <si>
    <t>ELIN CRISTINA DA SILVA</t>
  </si>
  <si>
    <t>VANESSA SOUZA DE FARIA</t>
  </si>
  <si>
    <t>MAGNO ALEFFY MELO DA SILVA</t>
  </si>
  <si>
    <t>BEATRIZ APARECIDA TELES TOMASINI</t>
  </si>
  <si>
    <t>MARCELO AUGUSTO MERCHIORI</t>
  </si>
  <si>
    <t>JANAINA PATRICIA DE RAMOS DINIZ</t>
  </si>
  <si>
    <t>JULIO CESAR FREITAS</t>
  </si>
  <si>
    <t>EMERSON FRANCISCO SILVEIRA</t>
  </si>
  <si>
    <t>JUCELIO JUNIOR GAUNA VELOSO</t>
  </si>
  <si>
    <t>GISLAINE CALEGARINI</t>
  </si>
  <si>
    <t>THIAGO VINICIUS TONIOLO GUMZ</t>
  </si>
  <si>
    <t>JERLLAN WEBERT NUNES DUARTE COSTA</t>
  </si>
  <si>
    <t>BRUNA RIBEIRO DE LUCA</t>
  </si>
  <si>
    <t>EDUARDA PAULINE IVO DOS SANTOS</t>
  </si>
  <si>
    <t>PALOMA SOARES RAMOS MOREIRA DE ALMEIDA</t>
  </si>
  <si>
    <t>STEPHANY BRAND FERRARI</t>
  </si>
  <si>
    <t>Viviane da Silva</t>
  </si>
  <si>
    <t>DOUGLAS MIRANDA DE OLIVEIRA</t>
  </si>
  <si>
    <t>JULIANA TEREZINHA DE OLIVEIRA</t>
  </si>
  <si>
    <t>BRUNA CAMILA SEDLMAIER</t>
  </si>
  <si>
    <t>FERNANDO MARCIO FERREIRA JUNIOR</t>
  </si>
  <si>
    <t>MARINES FERREIRA CARNEIRO</t>
  </si>
  <si>
    <t>MIRIA RAMOS DOS SANTOS</t>
  </si>
  <si>
    <t>IGOR ROCHA DE SOUSA</t>
  </si>
  <si>
    <t>KARLA LUIZA DE MACEDO</t>
  </si>
  <si>
    <t>ERICK SANDER TAVARES SEZEPULA</t>
  </si>
  <si>
    <t>HELEN CAROLINE SOARES DE LIMA GUTSTEIN</t>
  </si>
  <si>
    <t>RUAN CARLOS SANTOS DO NASCIMENTO</t>
  </si>
  <si>
    <t>RENATA DIAS DE SOUZA</t>
  </si>
  <si>
    <t>FABIO MACIEL</t>
  </si>
  <si>
    <t>ERITO NOGUEIRA ELIAS</t>
  </si>
  <si>
    <t>KEDMA PRISCILA PEREIRA SOARES</t>
  </si>
  <si>
    <t>EDISON MARCIANO DA SILVA</t>
  </si>
  <si>
    <t>LEILA ALVES DO ROSARIO</t>
  </si>
  <si>
    <t>MICHELE BESTER DE SOUZA</t>
  </si>
  <si>
    <t>JHENIFFER DE LIMA VICENTE DE OLIVEIRA CAVALCANTE</t>
  </si>
  <si>
    <t>MARILIS TRISTAO PIETRANGELO</t>
  </si>
  <si>
    <t>LUIZ HENRIQUE DE SOUZA</t>
  </si>
  <si>
    <t>EURRANA RAMOS ALVES</t>
  </si>
  <si>
    <t>CARMELINA MARCELLI DA CRUZ</t>
  </si>
  <si>
    <t>VINICIUS CARVALHO CHAGAS</t>
  </si>
  <si>
    <t>ANA KELLI DE OLIVEIRA DA SILVA</t>
  </si>
  <si>
    <t>DIEGO ALAYON CAMARA</t>
  </si>
  <si>
    <t xml:space="preserve">GABRIEL VIEIRA DE SALES </t>
  </si>
  <si>
    <t>ANTONIO REINALDO DA SILVA</t>
  </si>
  <si>
    <t>CAROLINE AUGUSTA VIEIRA DE SOUZA</t>
  </si>
  <si>
    <t>ANDRIA DANIELLE DE LIMA</t>
  </si>
  <si>
    <t>MARLLON FANTE BOITA</t>
  </si>
  <si>
    <t>PEDRO PAULO CARDOSO MENDES</t>
  </si>
  <si>
    <t>ALLINE CAMARGO DA SILVA</t>
  </si>
  <si>
    <t>ISRAEL RIBEIRO GIBIM</t>
  </si>
  <si>
    <t>ELISSANDRO ANTONIO SIKORA</t>
  </si>
  <si>
    <t>NATAN FELIPE DOS SANTOS RIBAS</t>
  </si>
  <si>
    <t>LUANA GABRIELE MARTY</t>
  </si>
  <si>
    <t>WILSON APARECIDO SILVERIO CORREA JUNIOR</t>
  </si>
  <si>
    <t>ROZILENE LIMA BRUSKI DIAS</t>
  </si>
  <si>
    <t>THAYNARA CRISTINE DE PAULA CORDEIRO</t>
  </si>
  <si>
    <t>CRISTIANE MOREIRA ALVES</t>
  </si>
  <si>
    <t>WILLIAN DE LIMA GOUVEIA</t>
  </si>
  <si>
    <t>ERICSON CRISTIANO ZANLORENS</t>
  </si>
  <si>
    <t>ANDERSON DE LIMA DA SILVA</t>
  </si>
  <si>
    <t>ARIANE DIAS DA SILVA</t>
  </si>
  <si>
    <t>MAYRA TONCZAK DE AZEVEDO</t>
  </si>
  <si>
    <t>LUANA LARISSA SILVA MOREIRA</t>
  </si>
  <si>
    <t>CARLOS EDUARDO DO COUTO</t>
  </si>
  <si>
    <t>MAYARA DE OLIVIERA PERES</t>
  </si>
  <si>
    <t>VANIRICE CORDEIRO BRITES</t>
  </si>
  <si>
    <t>LUCIANO HENRIQUE DA SILVA</t>
  </si>
  <si>
    <t>GIOVANNA CORREIA PAZIN</t>
  </si>
  <si>
    <t xml:space="preserve">DENIELS ALEXANDER SCHMIDT ASEVEDO </t>
  </si>
  <si>
    <t>ALESSANDRA SANTOS E SANTOS</t>
  </si>
  <si>
    <t xml:space="preserve">DEOCLÉSIA BRASIL </t>
  </si>
  <si>
    <t>DANIELLE COSTA ALVES DA SILVA</t>
  </si>
  <si>
    <t>JACKSON TABORDA BUENO</t>
  </si>
  <si>
    <t>FRANCIELE DIAS LOURENCO DOS SANTOS</t>
  </si>
  <si>
    <t>ROBERTA FERREIRA COLAÇO BELO</t>
  </si>
  <si>
    <t>FLAVIUS CARLOS SANTOS DE SOUZA</t>
  </si>
  <si>
    <t>LUIZ FERNANDO LABHARDT</t>
  </si>
  <si>
    <t>LUCIANE DE CASTRO BRANDELIONE</t>
  </si>
  <si>
    <t>RENE DETIUK GOMES</t>
  </si>
  <si>
    <t>MIQUEIAS SILVA DE SOUZA</t>
  </si>
  <si>
    <t>FABRICIO FRANCISCO ANTUNES PEREIRA</t>
  </si>
  <si>
    <t>ANDREA DE CAMPOS ARAUJO</t>
  </si>
  <si>
    <t>LUANA BOLZE DRANKA</t>
  </si>
  <si>
    <t>ALINE GABRIELE VASCONCELLOS</t>
  </si>
  <si>
    <t>ANDERSON ROCHA DA SILVA</t>
  </si>
  <si>
    <t>MARCOS MATHEUS DE MUZIO</t>
  </si>
  <si>
    <t>ADEJAN COSTA</t>
  </si>
  <si>
    <t>MATHEUS DOS SANTOS MARQUES UEBELHART</t>
  </si>
  <si>
    <t>LOHAN GUILHERME DE CAMPOS</t>
  </si>
  <si>
    <t>ANE CAROLINE SOUZA</t>
  </si>
  <si>
    <t>ECHILEY SILVA</t>
  </si>
  <si>
    <t>Ana Cristina de Jesus</t>
  </si>
  <si>
    <t>TALITA CHAVES GARCIA</t>
  </si>
  <si>
    <t>LUCAS DE MOURA MESQUITA</t>
  </si>
  <si>
    <t>ARTHUR VILHENA E SILVA</t>
  </si>
  <si>
    <t>ARABELA ALVES DA SILVA</t>
  </si>
  <si>
    <t>YAN LEONARDI DE LIMA PREIS</t>
  </si>
  <si>
    <t>MELISSA NATALI PERES</t>
  </si>
  <si>
    <t>ALINE OLIVEIRA RAMOS</t>
  </si>
  <si>
    <t>DOUGLAS CORREA ROSS</t>
  </si>
  <si>
    <t>CARLA ANTONIA JORGE SOBIESKI</t>
  </si>
  <si>
    <t>MATHEUS SARAIVA RIBEIRO</t>
  </si>
  <si>
    <t>KATIA REGINA DE LIMA LOPES</t>
  </si>
  <si>
    <t>TIAGO CLEITON DOS SANTOS</t>
  </si>
  <si>
    <t>EDUARDO FELIPE DA SILVA LOURENCO</t>
  </si>
  <si>
    <t>ANGELA LAYNS KALLUF DA SILVA</t>
  </si>
  <si>
    <t>KATIA LUCIA SIQUEIRA</t>
  </si>
  <si>
    <t>GABRIELY DE SOUZA BARBOSA</t>
  </si>
  <si>
    <t>AMANDA GABRIELLE ALMEIDA DE CAMARGO</t>
  </si>
  <si>
    <t>LEONARDO AUGUSTO EDART</t>
  </si>
  <si>
    <t>HILDEGA HIBNER</t>
  </si>
  <si>
    <t>PEDRO MANOEL LOPES MENDONCA</t>
  </si>
  <si>
    <t>NATALY ADRIANA DA SILVA</t>
  </si>
  <si>
    <t>LUANA CRISTINA DA SILVA</t>
  </si>
  <si>
    <t>VIVIAN MAUTA DA SILVA</t>
  </si>
  <si>
    <t>CLAYTON MIRANDA BATISTA</t>
  </si>
  <si>
    <t>KETHLYN MARIA MACHADO HALABURA</t>
  </si>
  <si>
    <t>RODRIGO PINHEIRO BERTO</t>
  </si>
  <si>
    <t>CARLA JANAINA DE SOUZA</t>
  </si>
  <si>
    <t>LEONARDO VICTOR NEPPEL</t>
  </si>
  <si>
    <t>JULIETE CAETANO DE LIMA DOS SANTOS</t>
  </si>
  <si>
    <t>WESLEY XAVIER DO NASCIMENTO</t>
  </si>
  <si>
    <t>NICOLE MILENA DOS SANTOS TAVARES</t>
  </si>
  <si>
    <t>DARKYLA MARRIE TRICOSSI</t>
  </si>
  <si>
    <t>EDUARDO SCHMIDERKAL DE ALMEIDA JORGE</t>
  </si>
  <si>
    <t>DIOGO BRITTO DO NASCIMENTO</t>
  </si>
  <si>
    <t>LUCIANA NICOLOSI RODRIGUES</t>
  </si>
  <si>
    <t>CARLOS ALBERTO TORTATO PEDROSO</t>
  </si>
  <si>
    <t>INATIVOS</t>
  </si>
  <si>
    <t>JOVEM</t>
  </si>
  <si>
    <t>COBRANÇA_GERAL</t>
  </si>
  <si>
    <t>Telecobrança</t>
  </si>
  <si>
    <t>Coluna1</t>
  </si>
  <si>
    <t>Total Geral</t>
  </si>
  <si>
    <t>Nº de Colaboradores</t>
  </si>
  <si>
    <t>Nome Colaborador</t>
  </si>
  <si>
    <t>COLABORADOR</t>
  </si>
  <si>
    <t xml:space="preserve">SITUAÇÃO </t>
  </si>
  <si>
    <t>AFASTADO</t>
  </si>
  <si>
    <t>DENIELS ALEXANDER SCHMIDT ASEVEDO</t>
  </si>
  <si>
    <t>DEOCLÉSIA BRASIL</t>
  </si>
  <si>
    <t>GABRIEL VIEIRA DE SALES</t>
  </si>
  <si>
    <t>ATIVOS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</si>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</sst>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Trebuchet MS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ck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thick">
        <color theme="1"/>
      </left>
      <right style="hair">
        <color theme="1"/>
      </right>
      <top style="hair">
        <color theme="1"/>
      </top>
      <bottom/>
      <diagonal/>
    </border>
    <border>
      <left style="thick">
        <color theme="1"/>
      </left>
      <right style="hair">
        <color theme="1"/>
      </right>
      <top/>
      <bottom style="hair">
        <color theme="1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hair">
        <color theme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ck">
        <color theme="1"/>
      </left>
      <right style="hair">
        <color theme="1"/>
      </right>
      <top style="hair">
        <color theme="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/>
    <xf numFmtId="0" fontId="1" fillId="2" borderId="3" xfId="0" applyFont="1" applyFill="1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4" fillId="0" borderId="4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5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3" borderId="2" xfId="0" applyFill="1" applyBorder="1"/>
    <xf numFmtId="0" fontId="0" fillId="3" borderId="3" xfId="0" applyFill="1" applyBorder="1"/>
    <xf numFmtId="0" fontId="0" fillId="0" borderId="2" xfId="0" applyBorder="1"/>
    <xf numFmtId="0" fontId="0" fillId="0" borderId="0" xfId="0" applyAlignment="1">
      <alignment horizontal="left" indent="1"/>
    </xf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1" fillId="2" borderId="11" xfId="0" applyFont="1" applyFill="1" applyBorder="1"/>
    <xf numFmtId="0" fontId="1" fillId="2" borderId="12" xfId="0" applyFont="1" applyFill="1" applyBorder="1"/>
    <xf numFmtId="0" fontId="0" fillId="3" borderId="2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1" fillId="2" borderId="9" xfId="0" applyFont="1" applyFill="1" applyBorder="1"/>
    <xf numFmtId="0" fontId="0" fillId="0" borderId="10" xfId="0" applyBorder="1" applyAlignment="1">
      <alignment horizontal="left"/>
    </xf>
    <xf numFmtId="0" fontId="0" fillId="3" borderId="10" xfId="0" applyFill="1" applyBorder="1"/>
    <xf numFmtId="0" fontId="0" fillId="3" borderId="10" xfId="0" applyFill="1" applyBorder="1" applyAlignment="1">
      <alignment horizontal="left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/>
    <xf numFmtId="0" fontId="0" fillId="0" borderId="0" xfId="0" pivotButton="1" applyAlignment="1">
      <alignment horizontal="left"/>
    </xf>
    <xf numFmtId="0" fontId="0" fillId="0" borderId="0" xfId="0" applyAlignment="1">
      <alignment wrapText="1"/>
    </xf>
    <xf numFmtId="0" fontId="0" fillId="3" borderId="13" xfId="0" applyFill="1" applyBorder="1" applyAlignment="1">
      <alignment vertical="center"/>
    </xf>
    <xf numFmtId="0" fontId="0" fillId="0" borderId="13" xfId="0" applyBorder="1" applyAlignment="1">
      <alignment vertical="center"/>
    </xf>
    <xf numFmtId="0" fontId="6" fillId="0" borderId="0" xfId="0" applyFont="1"/>
  </cellXfs>
  <cellStyles count="1">
    <cellStyle name="Normal" xfId="0" builtinId="0"/>
  </cellStyles>
  <dxfs count="129"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alignment horizontal="left" vertical="bottom" textRotation="0" wrapText="0" indent="0" justifyLastLine="0" shrinkToFit="0" readingOrder="0"/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general" vertical="bottom" textRotation="0" wrapText="0" indent="0" justifyLastLine="0" shrinkToFit="0" readingOrder="0"/>
    </dxf>
    <dxf>
      <border outline="0"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F0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/>
    </dxf>
    <dxf>
      <alignment horizontal="center"/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ont>
        <color rgb="FF00B0F0"/>
      </font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00B0F0"/>
      </font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770-4D69-A3CA-ADCE647DC8EC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770-4D69-A3CA-ADCE647DC8EC}"/>
              </c:ext>
            </c:extLst>
          </c:dPt>
          <c:dLbls>
            <c:dLbl>
              <c:idx val="0"/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70-4D69-A3CA-ADCE647DC8EC}"/>
                </c:ext>
              </c:extLst>
            </c:dLbl>
            <c:dLbl>
              <c:idx val="1"/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70-4D69-A3CA-ADCE647DC8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INÍCIO!$F$6:$F$7</c:f>
              <c:strCache>
                <c:ptCount val="2"/>
                <c:pt idx="0">
                  <c:v>TOTAL</c:v>
                </c:pt>
                <c:pt idx="1">
                  <c:v>ATIVOS</c:v>
                </c:pt>
              </c:strCache>
            </c:strRef>
          </c:cat>
          <c:val>
            <c:numRef>
              <c:f>INÍCIO!$G$6:$G$7</c:f>
              <c:numCache>
                <c:formatCode>General</c:formatCode>
                <c:ptCount val="2"/>
                <c:pt idx="0">
                  <c:v>69</c:v>
                </c:pt>
                <c:pt idx="1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0-4D69-A3CA-ADCE647DC8E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hyperlink" Target="#'ERICE RENATO NAVARROS OPIMI'!A1"/><Relationship Id="rId7" Type="http://schemas.openxmlformats.org/officeDocument/2006/relationships/hyperlink" Target="#'AMANDA - DIEGO - TELE'!A1"/><Relationship Id="rId2" Type="http://schemas.openxmlformats.org/officeDocument/2006/relationships/hyperlink" Target="#'ANGELYCA FRAN&#199;A DE OLIVEIRA'!A1"/><Relationship Id="rId1" Type="http://schemas.openxmlformats.org/officeDocument/2006/relationships/hyperlink" Target="#'ADOILSON LIMA DO NASCIMENTO'!A1"/><Relationship Id="rId6" Type="http://schemas.openxmlformats.org/officeDocument/2006/relationships/hyperlink" Target="#'SABRINA RIBEIRO DIAS'!A1"/><Relationship Id="rId5" Type="http://schemas.openxmlformats.org/officeDocument/2006/relationships/hyperlink" Target="#'GUSTAVO LAGO DO NASCIMENTO'!A1"/><Relationship Id="rId4" Type="http://schemas.openxmlformats.org/officeDocument/2006/relationships/hyperlink" Target="#'GENILSON FELICIO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ERICE RENATO NAVARROS OPIMI'!A1"/><Relationship Id="rId7" Type="http://schemas.openxmlformats.org/officeDocument/2006/relationships/hyperlink" Target="#'AMANDA - DIEGO - TELE'!A1"/><Relationship Id="rId2" Type="http://schemas.openxmlformats.org/officeDocument/2006/relationships/hyperlink" Target="#'ANGELYCA FRAN&#199;A DE OLIVEIRA'!A1"/><Relationship Id="rId1" Type="http://schemas.openxmlformats.org/officeDocument/2006/relationships/hyperlink" Target="#'ADOILSON LIMA DO NASCIMENTO'!A1"/><Relationship Id="rId6" Type="http://schemas.openxmlformats.org/officeDocument/2006/relationships/hyperlink" Target="#'SABRINA RIBEIRO DIAS'!A1"/><Relationship Id="rId5" Type="http://schemas.openxmlformats.org/officeDocument/2006/relationships/hyperlink" Target="#'GUSTAVO LAGO DO NASCIMENTO'!A1"/><Relationship Id="rId4" Type="http://schemas.openxmlformats.org/officeDocument/2006/relationships/hyperlink" Target="#'GENILSON FELICIO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AMANDA - DIEGO - TELE'!A1"/><Relationship Id="rId3" Type="http://schemas.openxmlformats.org/officeDocument/2006/relationships/hyperlink" Target="#'ANGELYCA FRAN&#199;A DE OLIVEIRA'!A1"/><Relationship Id="rId7" Type="http://schemas.openxmlformats.org/officeDocument/2006/relationships/hyperlink" Target="#'SABRINA RIBEIRO DIAS'!A1"/><Relationship Id="rId2" Type="http://schemas.openxmlformats.org/officeDocument/2006/relationships/hyperlink" Target="#'ADOILSON LIMA DO NASCIMENTO'!A1"/><Relationship Id="rId1" Type="http://schemas.openxmlformats.org/officeDocument/2006/relationships/hyperlink" Target="#IN&#205;CIO!A1"/><Relationship Id="rId6" Type="http://schemas.openxmlformats.org/officeDocument/2006/relationships/hyperlink" Target="#'GUSTAVO LAGO DO NASCIMENTO'!A1"/><Relationship Id="rId5" Type="http://schemas.openxmlformats.org/officeDocument/2006/relationships/hyperlink" Target="#'GENILSON FELICIO'!A1"/><Relationship Id="rId4" Type="http://schemas.openxmlformats.org/officeDocument/2006/relationships/hyperlink" Target="#'ERICE RENATO NAVARROS OPIMI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AMANDA - DIEGO - TELE'!A1"/><Relationship Id="rId3" Type="http://schemas.openxmlformats.org/officeDocument/2006/relationships/hyperlink" Target="#'ANGELYCA FRAN&#199;A DE OLIVEIRA'!A1"/><Relationship Id="rId7" Type="http://schemas.openxmlformats.org/officeDocument/2006/relationships/hyperlink" Target="#'SABRINA RIBEIRO DIAS'!A1"/><Relationship Id="rId2" Type="http://schemas.openxmlformats.org/officeDocument/2006/relationships/hyperlink" Target="#'ADOILSON LIMA DO NASCIMENTO'!A1"/><Relationship Id="rId1" Type="http://schemas.openxmlformats.org/officeDocument/2006/relationships/hyperlink" Target="#IN&#205;CIO!A1"/><Relationship Id="rId6" Type="http://schemas.openxmlformats.org/officeDocument/2006/relationships/hyperlink" Target="#'GUSTAVO LAGO DO NASCIMENTO'!A1"/><Relationship Id="rId5" Type="http://schemas.openxmlformats.org/officeDocument/2006/relationships/hyperlink" Target="#'GENILSON FELICIO'!A1"/><Relationship Id="rId4" Type="http://schemas.openxmlformats.org/officeDocument/2006/relationships/hyperlink" Target="#'ERICE RENATO NAVARROS OPIMI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AMANDA - DIEGO - TELE'!A1"/><Relationship Id="rId3" Type="http://schemas.openxmlformats.org/officeDocument/2006/relationships/hyperlink" Target="#'ANGELYCA FRAN&#199;A DE OLIVEIRA'!A1"/><Relationship Id="rId7" Type="http://schemas.openxmlformats.org/officeDocument/2006/relationships/hyperlink" Target="#'SABRINA RIBEIRO DIAS'!A1"/><Relationship Id="rId2" Type="http://schemas.openxmlformats.org/officeDocument/2006/relationships/hyperlink" Target="#'ADOILSON LIMA DO NASCIMENTO'!A1"/><Relationship Id="rId1" Type="http://schemas.openxmlformats.org/officeDocument/2006/relationships/hyperlink" Target="#IN&#205;CIO!A1"/><Relationship Id="rId6" Type="http://schemas.openxmlformats.org/officeDocument/2006/relationships/hyperlink" Target="#'GUSTAVO LAGO DO NASCIMENTO'!A1"/><Relationship Id="rId5" Type="http://schemas.openxmlformats.org/officeDocument/2006/relationships/hyperlink" Target="#'GENILSON FELICIO'!A1"/><Relationship Id="rId4" Type="http://schemas.openxmlformats.org/officeDocument/2006/relationships/hyperlink" Target="#'ERICE RENATO NAVARROS OPIMI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AMANDA - DIEGO - TELE'!A1"/><Relationship Id="rId3" Type="http://schemas.openxmlformats.org/officeDocument/2006/relationships/hyperlink" Target="#'ANGELYCA FRAN&#199;A DE OLIVEIRA'!A1"/><Relationship Id="rId7" Type="http://schemas.openxmlformats.org/officeDocument/2006/relationships/hyperlink" Target="#'SABRINA RIBEIRO DIAS'!A1"/><Relationship Id="rId2" Type="http://schemas.openxmlformats.org/officeDocument/2006/relationships/hyperlink" Target="#'ADOILSON LIMA DO NASCIMENTO'!A1"/><Relationship Id="rId1" Type="http://schemas.openxmlformats.org/officeDocument/2006/relationships/hyperlink" Target="#IN&#205;CIO!A1"/><Relationship Id="rId6" Type="http://schemas.openxmlformats.org/officeDocument/2006/relationships/hyperlink" Target="#'GUSTAVO LAGO DO NASCIMENTO'!A1"/><Relationship Id="rId5" Type="http://schemas.openxmlformats.org/officeDocument/2006/relationships/hyperlink" Target="#'GENILSON FELICIO'!A1"/><Relationship Id="rId4" Type="http://schemas.openxmlformats.org/officeDocument/2006/relationships/hyperlink" Target="#'ERICE RENATO NAVARROS OPIMI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AMANDA - DIEGO - TELE'!A1"/><Relationship Id="rId3" Type="http://schemas.openxmlformats.org/officeDocument/2006/relationships/hyperlink" Target="#'ANGELYCA FRAN&#199;A DE OLIVEIRA'!A1"/><Relationship Id="rId7" Type="http://schemas.openxmlformats.org/officeDocument/2006/relationships/hyperlink" Target="#'SABRINA RIBEIRO DIAS'!A1"/><Relationship Id="rId2" Type="http://schemas.openxmlformats.org/officeDocument/2006/relationships/hyperlink" Target="#'ADOILSON LIMA DO NASCIMENTO'!A1"/><Relationship Id="rId1" Type="http://schemas.openxmlformats.org/officeDocument/2006/relationships/hyperlink" Target="#IN&#205;CIO!A1"/><Relationship Id="rId6" Type="http://schemas.openxmlformats.org/officeDocument/2006/relationships/hyperlink" Target="#'GUSTAVO LAGO DO NASCIMENTO'!A1"/><Relationship Id="rId5" Type="http://schemas.openxmlformats.org/officeDocument/2006/relationships/hyperlink" Target="#'GENILSON FELICIO'!A1"/><Relationship Id="rId4" Type="http://schemas.openxmlformats.org/officeDocument/2006/relationships/hyperlink" Target="#'ERICE RENATO NAVARROS OPIMI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AMANDA - DIEGO - TELE'!A1"/><Relationship Id="rId3" Type="http://schemas.openxmlformats.org/officeDocument/2006/relationships/hyperlink" Target="#'ANGELYCA FRAN&#199;A DE OLIVEIRA'!A1"/><Relationship Id="rId7" Type="http://schemas.openxmlformats.org/officeDocument/2006/relationships/hyperlink" Target="#'SABRINA RIBEIRO DIAS'!A1"/><Relationship Id="rId2" Type="http://schemas.openxmlformats.org/officeDocument/2006/relationships/hyperlink" Target="#'ADOILSON LIMA DO NASCIMENTO'!A1"/><Relationship Id="rId1" Type="http://schemas.openxmlformats.org/officeDocument/2006/relationships/hyperlink" Target="#IN&#205;CIO!A1"/><Relationship Id="rId6" Type="http://schemas.openxmlformats.org/officeDocument/2006/relationships/hyperlink" Target="#'GUSTAVO LAGO DO NASCIMENTO'!A1"/><Relationship Id="rId5" Type="http://schemas.openxmlformats.org/officeDocument/2006/relationships/hyperlink" Target="#'GENILSON FELICIO'!A1"/><Relationship Id="rId4" Type="http://schemas.openxmlformats.org/officeDocument/2006/relationships/hyperlink" Target="#'ERICE RENATO NAVARROS OPIMI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AMANDA - DIEGO - TELE'!A1"/><Relationship Id="rId3" Type="http://schemas.openxmlformats.org/officeDocument/2006/relationships/hyperlink" Target="#'ANGELYCA FRAN&#199;A DE OLIVEIRA'!A1"/><Relationship Id="rId7" Type="http://schemas.openxmlformats.org/officeDocument/2006/relationships/hyperlink" Target="#'SABRINA RIBEIRO DIAS'!A1"/><Relationship Id="rId2" Type="http://schemas.openxmlformats.org/officeDocument/2006/relationships/hyperlink" Target="#'ADOILSON LIMA DO NASCIMENTO'!A1"/><Relationship Id="rId1" Type="http://schemas.openxmlformats.org/officeDocument/2006/relationships/hyperlink" Target="#IN&#205;CIO!A1"/><Relationship Id="rId6" Type="http://schemas.openxmlformats.org/officeDocument/2006/relationships/hyperlink" Target="#'GUSTAVO LAGO DO NASCIMENTO'!A1"/><Relationship Id="rId5" Type="http://schemas.openxmlformats.org/officeDocument/2006/relationships/hyperlink" Target="#'GENILSON FELICIO'!A1"/><Relationship Id="rId4" Type="http://schemas.openxmlformats.org/officeDocument/2006/relationships/hyperlink" Target="#'ERICE RENATO NAVARROS OPIMI'!A1"/><Relationship Id="rId9" Type="http://schemas.openxmlformats.org/officeDocument/2006/relationships/hyperlink" Target="#TODOS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IN&#205;CIO!A1"/><Relationship Id="rId3" Type="http://schemas.openxmlformats.org/officeDocument/2006/relationships/hyperlink" Target="#'ERICE RENATO NAVARROS OPIMI'!A1"/><Relationship Id="rId7" Type="http://schemas.openxmlformats.org/officeDocument/2006/relationships/hyperlink" Target="#'AMANDA - DIEGO - TELE'!A1"/><Relationship Id="rId2" Type="http://schemas.openxmlformats.org/officeDocument/2006/relationships/hyperlink" Target="#'ANGELYCA FRAN&#199;A DE OLIVEIRA'!A1"/><Relationship Id="rId1" Type="http://schemas.openxmlformats.org/officeDocument/2006/relationships/hyperlink" Target="#'ADOILSON LIMA DO NASCIMENTO'!A1"/><Relationship Id="rId6" Type="http://schemas.openxmlformats.org/officeDocument/2006/relationships/hyperlink" Target="#'SABRINA RIBEIRO DIAS'!A1"/><Relationship Id="rId5" Type="http://schemas.openxmlformats.org/officeDocument/2006/relationships/hyperlink" Target="#'GUSTAVO LAGO DO NASCIMENTO'!A1"/><Relationship Id="rId4" Type="http://schemas.openxmlformats.org/officeDocument/2006/relationships/hyperlink" Target="#'GENILSON FELICI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140969</xdr:colOff>
      <xdr:row>0</xdr:row>
      <xdr:rowOff>156208</xdr:rowOff>
    </xdr:from>
    <xdr:to>
      <xdr:col>0</xdr:col>
      <xdr:colOff>968969</xdr:colOff>
      <xdr:row>2</xdr:row>
      <xdr:rowOff>154258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CC5E6C-A679-BD32-AF54-5A8A4D6D4028}"/>
            </a:ext>
          </a:extLst>
        </xdr:cNvPr>
        <xdr:cNvSpPr/>
      </xdr:nvSpPr>
      <xdr:spPr>
        <a:xfrm>
          <a:off x="140969" y="156208"/>
          <a:ext cx="82800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>
    <xdr:from>
      <xdr:col>0</xdr:col>
      <xdr:colOff>140017</xdr:colOff>
      <xdr:row>3</xdr:row>
      <xdr:rowOff>60482</xdr:rowOff>
    </xdr:from>
    <xdr:to>
      <xdr:col>0</xdr:col>
      <xdr:colOff>969922</xdr:colOff>
      <xdr:row>5</xdr:row>
      <xdr:rowOff>56627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B77BDE-AA4A-4989-AE0D-3AA3D2CF1C15}"/>
            </a:ext>
          </a:extLst>
        </xdr:cNvPr>
        <xdr:cNvSpPr/>
      </xdr:nvSpPr>
      <xdr:spPr>
        <a:xfrm>
          <a:off x="140017" y="603407"/>
          <a:ext cx="829905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>
    <xdr:from>
      <xdr:col>0</xdr:col>
      <xdr:colOff>139064</xdr:colOff>
      <xdr:row>5</xdr:row>
      <xdr:rowOff>151446</xdr:rowOff>
    </xdr:from>
    <xdr:to>
      <xdr:col>0</xdr:col>
      <xdr:colOff>970874</xdr:colOff>
      <xdr:row>7</xdr:row>
      <xdr:rowOff>149496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466C3EE-5FAB-4B2A-841C-8A756CA90260}"/>
            </a:ext>
          </a:extLst>
        </xdr:cNvPr>
        <xdr:cNvSpPr/>
      </xdr:nvSpPr>
      <xdr:spPr>
        <a:xfrm>
          <a:off x="139064" y="1056321"/>
          <a:ext cx="83181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>
    <xdr:from>
      <xdr:col>0</xdr:col>
      <xdr:colOff>139064</xdr:colOff>
      <xdr:row>8</xdr:row>
      <xdr:rowOff>55720</xdr:rowOff>
    </xdr:from>
    <xdr:to>
      <xdr:col>0</xdr:col>
      <xdr:colOff>970874</xdr:colOff>
      <xdr:row>10</xdr:row>
      <xdr:rowOff>53770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0339C1-720D-431E-9D72-72BBDA1239B1}"/>
            </a:ext>
          </a:extLst>
        </xdr:cNvPr>
        <xdr:cNvSpPr/>
      </xdr:nvSpPr>
      <xdr:spPr>
        <a:xfrm>
          <a:off x="139064" y="1503520"/>
          <a:ext cx="83181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>
    <xdr:from>
      <xdr:col>0</xdr:col>
      <xdr:colOff>137159</xdr:colOff>
      <xdr:row>10</xdr:row>
      <xdr:rowOff>146684</xdr:rowOff>
    </xdr:from>
    <xdr:to>
      <xdr:col>0</xdr:col>
      <xdr:colOff>972779</xdr:colOff>
      <xdr:row>12</xdr:row>
      <xdr:rowOff>142829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5D4FEEF-AA86-44D0-8320-102AC5DCDCAC}"/>
            </a:ext>
          </a:extLst>
        </xdr:cNvPr>
        <xdr:cNvSpPr/>
      </xdr:nvSpPr>
      <xdr:spPr>
        <a:xfrm>
          <a:off x="137159" y="1956434"/>
          <a:ext cx="83562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>
    <xdr:from>
      <xdr:col>0</xdr:col>
      <xdr:colOff>139064</xdr:colOff>
      <xdr:row>13</xdr:row>
      <xdr:rowOff>58578</xdr:rowOff>
    </xdr:from>
    <xdr:to>
      <xdr:col>0</xdr:col>
      <xdr:colOff>970874</xdr:colOff>
      <xdr:row>15</xdr:row>
      <xdr:rowOff>54723</xdr:rowOff>
    </xdr:to>
    <xdr:sp macro="" textlink="">
      <xdr:nvSpPr>
        <xdr:cNvPr id="7" name="Retângulo: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152E2A2-2C9C-458F-9229-49B8C841517E}"/>
            </a:ext>
          </a:extLst>
        </xdr:cNvPr>
        <xdr:cNvSpPr/>
      </xdr:nvSpPr>
      <xdr:spPr>
        <a:xfrm>
          <a:off x="139064" y="2411253"/>
          <a:ext cx="83181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>
    <xdr:from>
      <xdr:col>0</xdr:col>
      <xdr:colOff>139064</xdr:colOff>
      <xdr:row>15</xdr:row>
      <xdr:rowOff>140017</xdr:rowOff>
    </xdr:from>
    <xdr:to>
      <xdr:col>0</xdr:col>
      <xdr:colOff>970874</xdr:colOff>
      <xdr:row>17</xdr:row>
      <xdr:rowOff>134257</xdr:rowOff>
    </xdr:to>
    <xdr:sp macro="" textlink="">
      <xdr:nvSpPr>
        <xdr:cNvPr id="8" name="Retângulo: Cantos Arredond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1EA6E0E-830F-4E71-A503-BEBA2DE8FA6B}"/>
            </a:ext>
          </a:extLst>
        </xdr:cNvPr>
        <xdr:cNvSpPr/>
      </xdr:nvSpPr>
      <xdr:spPr>
        <a:xfrm>
          <a:off x="139064" y="2854642"/>
          <a:ext cx="831810" cy="35619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>
    <xdr:from>
      <xdr:col>0</xdr:col>
      <xdr:colOff>139064</xdr:colOff>
      <xdr:row>18</xdr:row>
      <xdr:rowOff>50006</xdr:rowOff>
    </xdr:from>
    <xdr:to>
      <xdr:col>0</xdr:col>
      <xdr:colOff>970874</xdr:colOff>
      <xdr:row>20</xdr:row>
      <xdr:rowOff>46151</xdr:rowOff>
    </xdr:to>
    <xdr:sp macro="" textlink="">
      <xdr:nvSpPr>
        <xdr:cNvPr id="9" name="Retângulo: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E10E7E8-F5A6-4D01-9492-34186894B0C2}"/>
            </a:ext>
          </a:extLst>
        </xdr:cNvPr>
        <xdr:cNvSpPr/>
      </xdr:nvSpPr>
      <xdr:spPr>
        <a:xfrm>
          <a:off x="139064" y="3307556"/>
          <a:ext cx="83181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>
    <xdr:from>
      <xdr:col>0</xdr:col>
      <xdr:colOff>136207</xdr:colOff>
      <xdr:row>20</xdr:row>
      <xdr:rowOff>135254</xdr:rowOff>
    </xdr:from>
    <xdr:to>
      <xdr:col>0</xdr:col>
      <xdr:colOff>973732</xdr:colOff>
      <xdr:row>22</xdr:row>
      <xdr:rowOff>131399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E658C15-BAB9-D29F-F519-1278A9A368CE}"/>
            </a:ext>
          </a:extLst>
        </xdr:cNvPr>
        <xdr:cNvSpPr/>
      </xdr:nvSpPr>
      <xdr:spPr>
        <a:xfrm>
          <a:off x="136207" y="3754754"/>
          <a:ext cx="837525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  <xdr:twoCellAnchor editAs="absolute">
    <xdr:from>
      <xdr:col>2</xdr:col>
      <xdr:colOff>0</xdr:colOff>
      <xdr:row>1</xdr:row>
      <xdr:rowOff>133350</xdr:rowOff>
    </xdr:from>
    <xdr:to>
      <xdr:col>9</xdr:col>
      <xdr:colOff>344805</xdr:colOff>
      <xdr:row>16</xdr:row>
      <xdr:rowOff>129540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08C4C0F-8EE0-09F7-A377-F7D65FE4884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131444</xdr:colOff>
      <xdr:row>0</xdr:row>
      <xdr:rowOff>0</xdr:rowOff>
    </xdr:from>
    <xdr:to>
      <xdr:col>12</xdr:col>
      <xdr:colOff>529590</xdr:colOff>
      <xdr:row>6</xdr:row>
      <xdr:rowOff>150495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QUIPE">
              <a:extLst>
                <a:ext uri="{FF2B5EF4-FFF2-40B4-BE49-F238E27FC236}">
                  <a16:creationId xmlns:a16="http://schemas.microsoft.com/office/drawing/2014/main" id="{6A2C282B-1E01-9567-6E28-4428FE3678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QUI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64829" y="0"/>
              <a:ext cx="2832736" cy="1236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34290</xdr:colOff>
      <xdr:row>0</xdr:row>
      <xdr:rowOff>38100</xdr:rowOff>
    </xdr:from>
    <xdr:to>
      <xdr:col>8</xdr:col>
      <xdr:colOff>34290</xdr:colOff>
      <xdr:row>13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IT. ATUAL">
              <a:extLst>
                <a:ext uri="{FF2B5EF4-FFF2-40B4-BE49-F238E27FC236}">
                  <a16:creationId xmlns:a16="http://schemas.microsoft.com/office/drawing/2014/main" id="{C6065FEF-CD52-810C-DE41-E05FAFF36C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. ATU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5065" y="38100"/>
              <a:ext cx="1828800" cy="2486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140969</xdr:colOff>
      <xdr:row>0</xdr:row>
      <xdr:rowOff>156208</xdr:rowOff>
    </xdr:from>
    <xdr:to>
      <xdr:col>0</xdr:col>
      <xdr:colOff>968969</xdr:colOff>
      <xdr:row>2</xdr:row>
      <xdr:rowOff>154258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2D58DF-EE60-4549-9D2D-57674FFAC453}"/>
            </a:ext>
          </a:extLst>
        </xdr:cNvPr>
        <xdr:cNvSpPr/>
      </xdr:nvSpPr>
      <xdr:spPr>
        <a:xfrm>
          <a:off x="137159" y="156208"/>
          <a:ext cx="83562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>
    <xdr:from>
      <xdr:col>0</xdr:col>
      <xdr:colOff>140017</xdr:colOff>
      <xdr:row>3</xdr:row>
      <xdr:rowOff>60482</xdr:rowOff>
    </xdr:from>
    <xdr:to>
      <xdr:col>0</xdr:col>
      <xdr:colOff>969922</xdr:colOff>
      <xdr:row>5</xdr:row>
      <xdr:rowOff>56627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BF0EC9-6A76-40A3-B86F-864BBAD9A832}"/>
            </a:ext>
          </a:extLst>
        </xdr:cNvPr>
        <xdr:cNvSpPr/>
      </xdr:nvSpPr>
      <xdr:spPr>
        <a:xfrm>
          <a:off x="136207" y="599597"/>
          <a:ext cx="837525" cy="36571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>
    <xdr:from>
      <xdr:col>0</xdr:col>
      <xdr:colOff>139064</xdr:colOff>
      <xdr:row>5</xdr:row>
      <xdr:rowOff>151446</xdr:rowOff>
    </xdr:from>
    <xdr:to>
      <xdr:col>0</xdr:col>
      <xdr:colOff>970874</xdr:colOff>
      <xdr:row>7</xdr:row>
      <xdr:rowOff>149496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14EC27-EF90-4E9C-A61E-5BCB5D5A41F7}"/>
            </a:ext>
          </a:extLst>
        </xdr:cNvPr>
        <xdr:cNvSpPr/>
      </xdr:nvSpPr>
      <xdr:spPr>
        <a:xfrm>
          <a:off x="135254" y="1056321"/>
          <a:ext cx="83943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>
    <xdr:from>
      <xdr:col>0</xdr:col>
      <xdr:colOff>139064</xdr:colOff>
      <xdr:row>8</xdr:row>
      <xdr:rowOff>55720</xdr:rowOff>
    </xdr:from>
    <xdr:to>
      <xdr:col>0</xdr:col>
      <xdr:colOff>970874</xdr:colOff>
      <xdr:row>10</xdr:row>
      <xdr:rowOff>53770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998F43-3257-4677-8DC6-4521DB3BEE8D}"/>
            </a:ext>
          </a:extLst>
        </xdr:cNvPr>
        <xdr:cNvSpPr/>
      </xdr:nvSpPr>
      <xdr:spPr>
        <a:xfrm>
          <a:off x="135254" y="1507330"/>
          <a:ext cx="83943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>
    <xdr:from>
      <xdr:col>0</xdr:col>
      <xdr:colOff>137159</xdr:colOff>
      <xdr:row>10</xdr:row>
      <xdr:rowOff>146684</xdr:rowOff>
    </xdr:from>
    <xdr:to>
      <xdr:col>0</xdr:col>
      <xdr:colOff>972779</xdr:colOff>
      <xdr:row>12</xdr:row>
      <xdr:rowOff>142829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889825-0651-444C-8EB2-4EFC0A4E204A}"/>
            </a:ext>
          </a:extLst>
        </xdr:cNvPr>
        <xdr:cNvSpPr/>
      </xdr:nvSpPr>
      <xdr:spPr>
        <a:xfrm>
          <a:off x="133349" y="1954529"/>
          <a:ext cx="83562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>
    <xdr:from>
      <xdr:col>0</xdr:col>
      <xdr:colOff>139064</xdr:colOff>
      <xdr:row>13</xdr:row>
      <xdr:rowOff>58578</xdr:rowOff>
    </xdr:from>
    <xdr:to>
      <xdr:col>0</xdr:col>
      <xdr:colOff>970874</xdr:colOff>
      <xdr:row>15</xdr:row>
      <xdr:rowOff>54723</xdr:rowOff>
    </xdr:to>
    <xdr:sp macro="" textlink="">
      <xdr:nvSpPr>
        <xdr:cNvPr id="7" name="Retângulo: Cantos Arredondado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EF6A929-3F9B-47C7-BA27-CE30EED64C24}"/>
            </a:ext>
          </a:extLst>
        </xdr:cNvPr>
        <xdr:cNvSpPr/>
      </xdr:nvSpPr>
      <xdr:spPr>
        <a:xfrm>
          <a:off x="135254" y="2407443"/>
          <a:ext cx="839430" cy="36571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>
    <xdr:from>
      <xdr:col>0</xdr:col>
      <xdr:colOff>139064</xdr:colOff>
      <xdr:row>15</xdr:row>
      <xdr:rowOff>140017</xdr:rowOff>
    </xdr:from>
    <xdr:to>
      <xdr:col>0</xdr:col>
      <xdr:colOff>970874</xdr:colOff>
      <xdr:row>17</xdr:row>
      <xdr:rowOff>134257</xdr:rowOff>
    </xdr:to>
    <xdr:sp macro="" textlink="">
      <xdr:nvSpPr>
        <xdr:cNvPr id="8" name="Retângulo: Cantos Arredondado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07DAB38-4B2A-4F0F-8731-616467D4605A}"/>
            </a:ext>
          </a:extLst>
        </xdr:cNvPr>
        <xdr:cNvSpPr/>
      </xdr:nvSpPr>
      <xdr:spPr>
        <a:xfrm>
          <a:off x="135254" y="2850832"/>
          <a:ext cx="839430" cy="35619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>
    <xdr:from>
      <xdr:col>0</xdr:col>
      <xdr:colOff>139064</xdr:colOff>
      <xdr:row>18</xdr:row>
      <xdr:rowOff>50006</xdr:rowOff>
    </xdr:from>
    <xdr:to>
      <xdr:col>0</xdr:col>
      <xdr:colOff>970874</xdr:colOff>
      <xdr:row>20</xdr:row>
      <xdr:rowOff>46151</xdr:rowOff>
    </xdr:to>
    <xdr:sp macro="" textlink="">
      <xdr:nvSpPr>
        <xdr:cNvPr id="9" name="Retângulo: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1D44992-3F84-4800-9A50-B1E68C1A36E5}"/>
            </a:ext>
          </a:extLst>
        </xdr:cNvPr>
        <xdr:cNvSpPr/>
      </xdr:nvSpPr>
      <xdr:spPr>
        <a:xfrm>
          <a:off x="135254" y="3311366"/>
          <a:ext cx="839430" cy="35619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>
    <xdr:from>
      <xdr:col>0</xdr:col>
      <xdr:colOff>136207</xdr:colOff>
      <xdr:row>20</xdr:row>
      <xdr:rowOff>135254</xdr:rowOff>
    </xdr:from>
    <xdr:to>
      <xdr:col>0</xdr:col>
      <xdr:colOff>973732</xdr:colOff>
      <xdr:row>22</xdr:row>
      <xdr:rowOff>131399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EC800A6-F958-4284-8735-6A15D4FF78A9}"/>
            </a:ext>
          </a:extLst>
        </xdr:cNvPr>
        <xdr:cNvSpPr/>
      </xdr:nvSpPr>
      <xdr:spPr>
        <a:xfrm>
          <a:off x="132397" y="3750944"/>
          <a:ext cx="837525" cy="36571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20955</xdr:colOff>
      <xdr:row>0</xdr:row>
      <xdr:rowOff>1905</xdr:rowOff>
    </xdr:from>
    <xdr:to>
      <xdr:col>5</xdr:col>
      <xdr:colOff>0</xdr:colOff>
      <xdr:row>3</xdr:row>
      <xdr:rowOff>131445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217AFB-73D0-D9E6-138A-FBD09E0F4814}"/>
            </a:ext>
          </a:extLst>
        </xdr:cNvPr>
        <xdr:cNvSpPr>
          <a:spLocks noChangeAspect="1"/>
        </xdr:cNvSpPr>
      </xdr:nvSpPr>
      <xdr:spPr>
        <a:xfrm>
          <a:off x="5524500" y="1905"/>
          <a:ext cx="815340" cy="685800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 editAs="absolute">
    <xdr:from>
      <xdr:col>0</xdr:col>
      <xdr:colOff>73819</xdr:colOff>
      <xdr:row>0</xdr:row>
      <xdr:rowOff>156208</xdr:rowOff>
    </xdr:from>
    <xdr:to>
      <xdr:col>0</xdr:col>
      <xdr:colOff>896104</xdr:colOff>
      <xdr:row>2</xdr:row>
      <xdr:rowOff>154258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87956A-A37D-41C6-9B4D-06B8D22D8AF3}"/>
            </a:ext>
          </a:extLst>
        </xdr:cNvPr>
        <xdr:cNvSpPr/>
      </xdr:nvSpPr>
      <xdr:spPr>
        <a:xfrm>
          <a:off x="73819" y="156208"/>
          <a:ext cx="826095" cy="3600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 editAs="absolute">
    <xdr:from>
      <xdr:col>0</xdr:col>
      <xdr:colOff>72866</xdr:colOff>
      <xdr:row>3</xdr:row>
      <xdr:rowOff>55720</xdr:rowOff>
    </xdr:from>
    <xdr:to>
      <xdr:col>0</xdr:col>
      <xdr:colOff>897056</xdr:colOff>
      <xdr:row>5</xdr:row>
      <xdr:rowOff>63295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DCB281-849B-4CA3-8334-26DB66D62DCD}"/>
            </a:ext>
          </a:extLst>
        </xdr:cNvPr>
        <xdr:cNvSpPr/>
      </xdr:nvSpPr>
      <xdr:spPr>
        <a:xfrm>
          <a:off x="72866" y="608170"/>
          <a:ext cx="828000" cy="36571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 editAs="absolute">
    <xdr:from>
      <xdr:col>0</xdr:col>
      <xdr:colOff>66199</xdr:colOff>
      <xdr:row>5</xdr:row>
      <xdr:rowOff>172402</xdr:rowOff>
    </xdr:from>
    <xdr:to>
      <xdr:col>0</xdr:col>
      <xdr:colOff>898009</xdr:colOff>
      <xdr:row>7</xdr:row>
      <xdr:rowOff>168547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4190B1-73E1-493B-B242-94E1C02A27B5}"/>
            </a:ext>
          </a:extLst>
        </xdr:cNvPr>
        <xdr:cNvSpPr/>
      </xdr:nvSpPr>
      <xdr:spPr>
        <a:xfrm>
          <a:off x="71914" y="1073467"/>
          <a:ext cx="829905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 editAs="absolute">
    <xdr:from>
      <xdr:col>0</xdr:col>
      <xdr:colOff>66199</xdr:colOff>
      <xdr:row>8</xdr:row>
      <xdr:rowOff>75723</xdr:rowOff>
    </xdr:from>
    <xdr:to>
      <xdr:col>0</xdr:col>
      <xdr:colOff>898009</xdr:colOff>
      <xdr:row>10</xdr:row>
      <xdr:rowOff>73773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DB5F3E9-DE78-4254-B2F6-1D11C358E5C6}"/>
            </a:ext>
          </a:extLst>
        </xdr:cNvPr>
        <xdr:cNvSpPr/>
      </xdr:nvSpPr>
      <xdr:spPr>
        <a:xfrm>
          <a:off x="71914" y="1523523"/>
          <a:ext cx="82990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 editAs="absolute">
    <xdr:from>
      <xdr:col>0</xdr:col>
      <xdr:colOff>65246</xdr:colOff>
      <xdr:row>10</xdr:row>
      <xdr:rowOff>175259</xdr:rowOff>
    </xdr:from>
    <xdr:to>
      <xdr:col>0</xdr:col>
      <xdr:colOff>898961</xdr:colOff>
      <xdr:row>12</xdr:row>
      <xdr:rowOff>169499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FC551B1-56F9-4DC9-855B-520083E7DB28}"/>
            </a:ext>
          </a:extLst>
        </xdr:cNvPr>
        <xdr:cNvSpPr/>
      </xdr:nvSpPr>
      <xdr:spPr>
        <a:xfrm>
          <a:off x="70961" y="1981199"/>
          <a:ext cx="831810" cy="35619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 editAs="absolute">
    <xdr:from>
      <xdr:col>0</xdr:col>
      <xdr:colOff>66199</xdr:colOff>
      <xdr:row>13</xdr:row>
      <xdr:rowOff>76675</xdr:rowOff>
    </xdr:from>
    <xdr:to>
      <xdr:col>0</xdr:col>
      <xdr:colOff>898009</xdr:colOff>
      <xdr:row>15</xdr:row>
      <xdr:rowOff>88060</xdr:rowOff>
    </xdr:to>
    <xdr:sp macro="" textlink="">
      <xdr:nvSpPr>
        <xdr:cNvPr id="16" name="Retângulo: Cantos Arredondado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96DF142-AD24-4AEF-9752-DF1E77CB0E5E}"/>
            </a:ext>
          </a:extLst>
        </xdr:cNvPr>
        <xdr:cNvSpPr/>
      </xdr:nvSpPr>
      <xdr:spPr>
        <a:xfrm>
          <a:off x="71914" y="2429350"/>
          <a:ext cx="829905" cy="36762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 editAs="absolute">
    <xdr:from>
      <xdr:col>0</xdr:col>
      <xdr:colOff>66199</xdr:colOff>
      <xdr:row>15</xdr:row>
      <xdr:rowOff>174307</xdr:rowOff>
    </xdr:from>
    <xdr:to>
      <xdr:col>0</xdr:col>
      <xdr:colOff>898009</xdr:colOff>
      <xdr:row>17</xdr:row>
      <xdr:rowOff>170452</xdr:rowOff>
    </xdr:to>
    <xdr:sp macro="" textlink="">
      <xdr:nvSpPr>
        <xdr:cNvPr id="17" name="Retângulo: Cantos Arredondado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359AD33-30A5-450C-9B82-F31DED9DC7D6}"/>
            </a:ext>
          </a:extLst>
        </xdr:cNvPr>
        <xdr:cNvSpPr/>
      </xdr:nvSpPr>
      <xdr:spPr>
        <a:xfrm>
          <a:off x="71914" y="2885122"/>
          <a:ext cx="829905" cy="36571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 editAs="absolute">
    <xdr:from>
      <xdr:col>0</xdr:col>
      <xdr:colOff>66199</xdr:colOff>
      <xdr:row>18</xdr:row>
      <xdr:rowOff>98583</xdr:rowOff>
    </xdr:from>
    <xdr:to>
      <xdr:col>0</xdr:col>
      <xdr:colOff>898009</xdr:colOff>
      <xdr:row>20</xdr:row>
      <xdr:rowOff>92823</xdr:rowOff>
    </xdr:to>
    <xdr:sp macro="" textlink="">
      <xdr:nvSpPr>
        <xdr:cNvPr id="18" name="Retângulo: Cantos Arredond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69851E3-ADFD-4C40-A2DA-3D2B8D55A8AF}"/>
            </a:ext>
          </a:extLst>
        </xdr:cNvPr>
        <xdr:cNvSpPr/>
      </xdr:nvSpPr>
      <xdr:spPr>
        <a:xfrm>
          <a:off x="71914" y="3352323"/>
          <a:ext cx="829905" cy="35619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 editAs="absolute">
    <xdr:from>
      <xdr:col>0</xdr:col>
      <xdr:colOff>60484</xdr:colOff>
      <xdr:row>21</xdr:row>
      <xdr:rowOff>0</xdr:rowOff>
    </xdr:from>
    <xdr:to>
      <xdr:col>0</xdr:col>
      <xdr:colOff>898009</xdr:colOff>
      <xdr:row>22</xdr:row>
      <xdr:rowOff>169500</xdr:rowOff>
    </xdr:to>
    <xdr:sp macro="" textlink="">
      <xdr:nvSpPr>
        <xdr:cNvPr id="35" name="Retângulo: Cantos Arredondados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56E7996-0C75-4213-8E4D-96E58902B07E}"/>
            </a:ext>
          </a:extLst>
        </xdr:cNvPr>
        <xdr:cNvSpPr/>
      </xdr:nvSpPr>
      <xdr:spPr>
        <a:xfrm>
          <a:off x="68104" y="3800475"/>
          <a:ext cx="837525" cy="35428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0</xdr:rowOff>
    </xdr:from>
    <xdr:to>
      <xdr:col>4</xdr:col>
      <xdr:colOff>811530</xdr:colOff>
      <xdr:row>3</xdr:row>
      <xdr:rowOff>144780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75ADDF-C58D-4A79-9EC8-B808D0D3BBD4}"/>
            </a:ext>
          </a:extLst>
        </xdr:cNvPr>
        <xdr:cNvSpPr>
          <a:spLocks noChangeAspect="1"/>
        </xdr:cNvSpPr>
      </xdr:nvSpPr>
      <xdr:spPr>
        <a:xfrm>
          <a:off x="5391150" y="0"/>
          <a:ext cx="811530" cy="68770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 editAs="absolute">
    <xdr:from>
      <xdr:col>0</xdr:col>
      <xdr:colOff>73819</xdr:colOff>
      <xdr:row>0</xdr:row>
      <xdr:rowOff>156208</xdr:rowOff>
    </xdr:from>
    <xdr:to>
      <xdr:col>0</xdr:col>
      <xdr:colOff>899914</xdr:colOff>
      <xdr:row>2</xdr:row>
      <xdr:rowOff>154258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67FFC09-611D-4925-8577-D88AE8EAF20C}"/>
            </a:ext>
          </a:extLst>
        </xdr:cNvPr>
        <xdr:cNvSpPr/>
      </xdr:nvSpPr>
      <xdr:spPr>
        <a:xfrm>
          <a:off x="73819" y="156208"/>
          <a:ext cx="82609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 editAs="absolute">
    <xdr:from>
      <xdr:col>0</xdr:col>
      <xdr:colOff>70009</xdr:colOff>
      <xdr:row>3</xdr:row>
      <xdr:rowOff>70007</xdr:rowOff>
    </xdr:from>
    <xdr:to>
      <xdr:col>0</xdr:col>
      <xdr:colOff>898009</xdr:colOff>
      <xdr:row>5</xdr:row>
      <xdr:rowOff>66152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C789645-3A54-4E54-B0C2-20A8B861DF30}"/>
            </a:ext>
          </a:extLst>
        </xdr:cNvPr>
        <xdr:cNvSpPr/>
      </xdr:nvSpPr>
      <xdr:spPr>
        <a:xfrm>
          <a:off x="70009" y="612932"/>
          <a:ext cx="828000" cy="35809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 editAs="absolute">
    <xdr:from>
      <xdr:col>0</xdr:col>
      <xdr:colOff>74771</xdr:colOff>
      <xdr:row>5</xdr:row>
      <xdr:rowOff>162876</xdr:rowOff>
    </xdr:from>
    <xdr:to>
      <xdr:col>0</xdr:col>
      <xdr:colOff>895151</xdr:colOff>
      <xdr:row>7</xdr:row>
      <xdr:rowOff>160926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AB4728-6045-4E9D-BDD4-290770E4BE38}"/>
            </a:ext>
          </a:extLst>
        </xdr:cNvPr>
        <xdr:cNvSpPr/>
      </xdr:nvSpPr>
      <xdr:spPr>
        <a:xfrm>
          <a:off x="74771" y="1067751"/>
          <a:ext cx="82038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 editAs="absolute">
    <xdr:from>
      <xdr:col>0</xdr:col>
      <xdr:colOff>74771</xdr:colOff>
      <xdr:row>8</xdr:row>
      <xdr:rowOff>76675</xdr:rowOff>
    </xdr:from>
    <xdr:to>
      <xdr:col>0</xdr:col>
      <xdr:colOff>895151</xdr:colOff>
      <xdr:row>10</xdr:row>
      <xdr:rowOff>74725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0EECC7D-567E-4C1B-8B20-6419843BF0B7}"/>
            </a:ext>
          </a:extLst>
        </xdr:cNvPr>
        <xdr:cNvSpPr/>
      </xdr:nvSpPr>
      <xdr:spPr>
        <a:xfrm>
          <a:off x="74771" y="1524475"/>
          <a:ext cx="82038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 editAs="absolute">
    <xdr:from>
      <xdr:col>0</xdr:col>
      <xdr:colOff>73819</xdr:colOff>
      <xdr:row>10</xdr:row>
      <xdr:rowOff>171449</xdr:rowOff>
    </xdr:from>
    <xdr:to>
      <xdr:col>0</xdr:col>
      <xdr:colOff>896104</xdr:colOff>
      <xdr:row>12</xdr:row>
      <xdr:rowOff>167594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E1123AD-5FDD-46AC-B82E-85EEAF743C28}"/>
            </a:ext>
          </a:extLst>
        </xdr:cNvPr>
        <xdr:cNvSpPr/>
      </xdr:nvSpPr>
      <xdr:spPr>
        <a:xfrm>
          <a:off x="73819" y="1981199"/>
          <a:ext cx="822285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 editAs="absolute">
    <xdr:from>
      <xdr:col>0</xdr:col>
      <xdr:colOff>74771</xdr:colOff>
      <xdr:row>13</xdr:row>
      <xdr:rowOff>83343</xdr:rowOff>
    </xdr:from>
    <xdr:to>
      <xdr:col>0</xdr:col>
      <xdr:colOff>895151</xdr:colOff>
      <xdr:row>15</xdr:row>
      <xdr:rowOff>79488</xdr:rowOff>
    </xdr:to>
    <xdr:sp macro="" textlink="">
      <xdr:nvSpPr>
        <xdr:cNvPr id="16" name="Retângulo: Cantos Arredondado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9FF3E69-198A-45EF-BC80-69015889DE4D}"/>
            </a:ext>
          </a:extLst>
        </xdr:cNvPr>
        <xdr:cNvSpPr/>
      </xdr:nvSpPr>
      <xdr:spPr>
        <a:xfrm>
          <a:off x="74771" y="2436018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 editAs="absolute">
    <xdr:from>
      <xdr:col>0</xdr:col>
      <xdr:colOff>74771</xdr:colOff>
      <xdr:row>15</xdr:row>
      <xdr:rowOff>176212</xdr:rowOff>
    </xdr:from>
    <xdr:to>
      <xdr:col>0</xdr:col>
      <xdr:colOff>895151</xdr:colOff>
      <xdr:row>17</xdr:row>
      <xdr:rowOff>172357</xdr:rowOff>
    </xdr:to>
    <xdr:sp macro="" textlink="">
      <xdr:nvSpPr>
        <xdr:cNvPr id="17" name="Retângulo: Cantos Arredondado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0B675FD-654D-40F0-B429-065B89A2FB23}"/>
            </a:ext>
          </a:extLst>
        </xdr:cNvPr>
        <xdr:cNvSpPr/>
      </xdr:nvSpPr>
      <xdr:spPr>
        <a:xfrm>
          <a:off x="74771" y="2890837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 editAs="absolute">
    <xdr:from>
      <xdr:col>0</xdr:col>
      <xdr:colOff>74771</xdr:colOff>
      <xdr:row>18</xdr:row>
      <xdr:rowOff>88106</xdr:rowOff>
    </xdr:from>
    <xdr:to>
      <xdr:col>0</xdr:col>
      <xdr:colOff>895151</xdr:colOff>
      <xdr:row>20</xdr:row>
      <xdr:rowOff>84251</xdr:rowOff>
    </xdr:to>
    <xdr:sp macro="" textlink="">
      <xdr:nvSpPr>
        <xdr:cNvPr id="18" name="Retângulo: Cantos Arredond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99E3887-7C86-4AB7-8806-7A4E44F5122C}"/>
            </a:ext>
          </a:extLst>
        </xdr:cNvPr>
        <xdr:cNvSpPr/>
      </xdr:nvSpPr>
      <xdr:spPr>
        <a:xfrm>
          <a:off x="74771" y="3345656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 editAs="absolute">
    <xdr:from>
      <xdr:col>0</xdr:col>
      <xdr:colOff>68104</xdr:colOff>
      <xdr:row>21</xdr:row>
      <xdr:rowOff>0</xdr:rowOff>
    </xdr:from>
    <xdr:to>
      <xdr:col>0</xdr:col>
      <xdr:colOff>905629</xdr:colOff>
      <xdr:row>22</xdr:row>
      <xdr:rowOff>169500</xdr:rowOff>
    </xdr:to>
    <xdr:sp macro="" textlink="">
      <xdr:nvSpPr>
        <xdr:cNvPr id="19" name="Retângulo: Cantos Arredondado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180696C-59E8-4E59-9C48-0A9C2B68CEB9}"/>
            </a:ext>
          </a:extLst>
        </xdr:cNvPr>
        <xdr:cNvSpPr/>
      </xdr:nvSpPr>
      <xdr:spPr>
        <a:xfrm>
          <a:off x="68104" y="3800475"/>
          <a:ext cx="837525" cy="3504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24765</xdr:colOff>
      <xdr:row>0</xdr:row>
      <xdr:rowOff>9525</xdr:rowOff>
    </xdr:from>
    <xdr:to>
      <xdr:col>4</xdr:col>
      <xdr:colOff>838200</xdr:colOff>
      <xdr:row>3</xdr:row>
      <xdr:rowOff>152400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0DC1B0-19BC-48CB-96D6-36AA0F979D8E}"/>
            </a:ext>
          </a:extLst>
        </xdr:cNvPr>
        <xdr:cNvSpPr>
          <a:spLocks noChangeAspect="1"/>
        </xdr:cNvSpPr>
      </xdr:nvSpPr>
      <xdr:spPr>
        <a:xfrm>
          <a:off x="5253990" y="9525"/>
          <a:ext cx="813435" cy="685800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 editAs="absolute">
    <xdr:from>
      <xdr:col>0</xdr:col>
      <xdr:colOff>73819</xdr:colOff>
      <xdr:row>0</xdr:row>
      <xdr:rowOff>156208</xdr:rowOff>
    </xdr:from>
    <xdr:to>
      <xdr:col>0</xdr:col>
      <xdr:colOff>899914</xdr:colOff>
      <xdr:row>2</xdr:row>
      <xdr:rowOff>154258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C2B619-7532-4F46-A0E2-1551FB3ABC24}"/>
            </a:ext>
          </a:extLst>
        </xdr:cNvPr>
        <xdr:cNvSpPr/>
      </xdr:nvSpPr>
      <xdr:spPr>
        <a:xfrm>
          <a:off x="73819" y="156208"/>
          <a:ext cx="82609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 editAs="absolute">
    <xdr:from>
      <xdr:col>0</xdr:col>
      <xdr:colOff>72866</xdr:colOff>
      <xdr:row>3</xdr:row>
      <xdr:rowOff>65245</xdr:rowOff>
    </xdr:from>
    <xdr:to>
      <xdr:col>0</xdr:col>
      <xdr:colOff>900866</xdr:colOff>
      <xdr:row>5</xdr:row>
      <xdr:rowOff>69010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E4A53F2-48DE-460F-A6F1-DD5372C15DF0}"/>
            </a:ext>
          </a:extLst>
        </xdr:cNvPr>
        <xdr:cNvSpPr/>
      </xdr:nvSpPr>
      <xdr:spPr>
        <a:xfrm>
          <a:off x="72866" y="608170"/>
          <a:ext cx="828000" cy="36571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 editAs="absolute">
    <xdr:from>
      <xdr:col>0</xdr:col>
      <xdr:colOff>71914</xdr:colOff>
      <xdr:row>5</xdr:row>
      <xdr:rowOff>168592</xdr:rowOff>
    </xdr:from>
    <xdr:to>
      <xdr:col>0</xdr:col>
      <xdr:colOff>901819</xdr:colOff>
      <xdr:row>7</xdr:row>
      <xdr:rowOff>164737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7E23A95-F0BA-4296-B16F-4251A7AC98D9}"/>
            </a:ext>
          </a:extLst>
        </xdr:cNvPr>
        <xdr:cNvSpPr/>
      </xdr:nvSpPr>
      <xdr:spPr>
        <a:xfrm>
          <a:off x="71914" y="1073467"/>
          <a:ext cx="829905" cy="35809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 editAs="absolute">
    <xdr:from>
      <xdr:col>0</xdr:col>
      <xdr:colOff>71914</xdr:colOff>
      <xdr:row>8</xdr:row>
      <xdr:rowOff>75723</xdr:rowOff>
    </xdr:from>
    <xdr:to>
      <xdr:col>0</xdr:col>
      <xdr:colOff>901819</xdr:colOff>
      <xdr:row>10</xdr:row>
      <xdr:rowOff>73773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900D7A-66BD-4269-B10B-2E5D5CAE0C3C}"/>
            </a:ext>
          </a:extLst>
        </xdr:cNvPr>
        <xdr:cNvSpPr/>
      </xdr:nvSpPr>
      <xdr:spPr>
        <a:xfrm>
          <a:off x="71914" y="1523523"/>
          <a:ext cx="82990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 editAs="absolute">
    <xdr:from>
      <xdr:col>0</xdr:col>
      <xdr:colOff>70961</xdr:colOff>
      <xdr:row>10</xdr:row>
      <xdr:rowOff>171449</xdr:rowOff>
    </xdr:from>
    <xdr:to>
      <xdr:col>0</xdr:col>
      <xdr:colOff>902771</xdr:colOff>
      <xdr:row>12</xdr:row>
      <xdr:rowOff>165689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F34144B-A4EC-462A-B839-F388D0C1D38A}"/>
            </a:ext>
          </a:extLst>
        </xdr:cNvPr>
        <xdr:cNvSpPr/>
      </xdr:nvSpPr>
      <xdr:spPr>
        <a:xfrm>
          <a:off x="70961" y="1981199"/>
          <a:ext cx="831810" cy="35619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 editAs="absolute">
    <xdr:from>
      <xdr:col>0</xdr:col>
      <xdr:colOff>71914</xdr:colOff>
      <xdr:row>13</xdr:row>
      <xdr:rowOff>76675</xdr:rowOff>
    </xdr:from>
    <xdr:to>
      <xdr:col>0</xdr:col>
      <xdr:colOff>901819</xdr:colOff>
      <xdr:row>15</xdr:row>
      <xdr:rowOff>82345</xdr:rowOff>
    </xdr:to>
    <xdr:sp macro="" textlink="">
      <xdr:nvSpPr>
        <xdr:cNvPr id="16" name="Retângulo: Cantos Arredondado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3BF6066-0448-44FA-AF86-AF37AB8751F0}"/>
            </a:ext>
          </a:extLst>
        </xdr:cNvPr>
        <xdr:cNvSpPr/>
      </xdr:nvSpPr>
      <xdr:spPr>
        <a:xfrm>
          <a:off x="71914" y="2429350"/>
          <a:ext cx="829905" cy="36762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 editAs="absolute">
    <xdr:from>
      <xdr:col>0</xdr:col>
      <xdr:colOff>71914</xdr:colOff>
      <xdr:row>15</xdr:row>
      <xdr:rowOff>170497</xdr:rowOff>
    </xdr:from>
    <xdr:to>
      <xdr:col>0</xdr:col>
      <xdr:colOff>901819</xdr:colOff>
      <xdr:row>17</xdr:row>
      <xdr:rowOff>174262</xdr:rowOff>
    </xdr:to>
    <xdr:sp macro="" textlink="">
      <xdr:nvSpPr>
        <xdr:cNvPr id="17" name="Retângulo: Cantos Arredondado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F99A8A5-9F16-446B-B40E-35B027E2EF0C}"/>
            </a:ext>
          </a:extLst>
        </xdr:cNvPr>
        <xdr:cNvSpPr/>
      </xdr:nvSpPr>
      <xdr:spPr>
        <a:xfrm>
          <a:off x="71914" y="2885122"/>
          <a:ext cx="829905" cy="36571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 editAs="absolute">
    <xdr:from>
      <xdr:col>0</xdr:col>
      <xdr:colOff>71914</xdr:colOff>
      <xdr:row>18</xdr:row>
      <xdr:rowOff>94773</xdr:rowOff>
    </xdr:from>
    <xdr:to>
      <xdr:col>0</xdr:col>
      <xdr:colOff>901819</xdr:colOff>
      <xdr:row>20</xdr:row>
      <xdr:rowOff>89013</xdr:rowOff>
    </xdr:to>
    <xdr:sp macro="" textlink="">
      <xdr:nvSpPr>
        <xdr:cNvPr id="18" name="Retângulo: Cantos Arredond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7859642-177F-433B-A421-FF67E1EE8097}"/>
            </a:ext>
          </a:extLst>
        </xdr:cNvPr>
        <xdr:cNvSpPr/>
      </xdr:nvSpPr>
      <xdr:spPr>
        <a:xfrm>
          <a:off x="71914" y="3352323"/>
          <a:ext cx="829905" cy="35619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 editAs="absolute">
    <xdr:from>
      <xdr:col>0</xdr:col>
      <xdr:colOff>68104</xdr:colOff>
      <xdr:row>21</xdr:row>
      <xdr:rowOff>0</xdr:rowOff>
    </xdr:from>
    <xdr:to>
      <xdr:col>0</xdr:col>
      <xdr:colOff>905629</xdr:colOff>
      <xdr:row>22</xdr:row>
      <xdr:rowOff>169500</xdr:rowOff>
    </xdr:to>
    <xdr:sp macro="" textlink="">
      <xdr:nvSpPr>
        <xdr:cNvPr id="19" name="Retângulo: Cantos Arredondado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C65A193-9CF9-49DD-A6DC-C39A4AA422DB}"/>
            </a:ext>
          </a:extLst>
        </xdr:cNvPr>
        <xdr:cNvSpPr/>
      </xdr:nvSpPr>
      <xdr:spPr>
        <a:xfrm>
          <a:off x="68104" y="3800475"/>
          <a:ext cx="837525" cy="3504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15240</xdr:colOff>
      <xdr:row>0</xdr:row>
      <xdr:rowOff>28575</xdr:rowOff>
    </xdr:from>
    <xdr:to>
      <xdr:col>4</xdr:col>
      <xdr:colOff>834390</xdr:colOff>
      <xdr:row>3</xdr:row>
      <xdr:rowOff>167640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38E58-5996-41DB-AD58-4298850A23A9}"/>
            </a:ext>
          </a:extLst>
        </xdr:cNvPr>
        <xdr:cNvSpPr>
          <a:spLocks noChangeAspect="1"/>
        </xdr:cNvSpPr>
      </xdr:nvSpPr>
      <xdr:spPr>
        <a:xfrm>
          <a:off x="5530215" y="28575"/>
          <a:ext cx="819150" cy="681990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 editAs="absolute">
    <xdr:from>
      <xdr:col>0</xdr:col>
      <xdr:colOff>73819</xdr:colOff>
      <xdr:row>0</xdr:row>
      <xdr:rowOff>156208</xdr:rowOff>
    </xdr:from>
    <xdr:to>
      <xdr:col>0</xdr:col>
      <xdr:colOff>899914</xdr:colOff>
      <xdr:row>2</xdr:row>
      <xdr:rowOff>154258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EFDE6C-5903-4BD7-A350-4CA7687E6C3F}"/>
            </a:ext>
          </a:extLst>
        </xdr:cNvPr>
        <xdr:cNvSpPr/>
      </xdr:nvSpPr>
      <xdr:spPr>
        <a:xfrm>
          <a:off x="73819" y="156208"/>
          <a:ext cx="82609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 editAs="absolute">
    <xdr:from>
      <xdr:col>0</xdr:col>
      <xdr:colOff>70009</xdr:colOff>
      <xdr:row>3</xdr:row>
      <xdr:rowOff>70007</xdr:rowOff>
    </xdr:from>
    <xdr:to>
      <xdr:col>0</xdr:col>
      <xdr:colOff>898009</xdr:colOff>
      <xdr:row>5</xdr:row>
      <xdr:rowOff>66152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71CF18-4550-4D20-B0D5-ACCFC06E1429}"/>
            </a:ext>
          </a:extLst>
        </xdr:cNvPr>
        <xdr:cNvSpPr/>
      </xdr:nvSpPr>
      <xdr:spPr>
        <a:xfrm>
          <a:off x="70009" y="612932"/>
          <a:ext cx="82800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0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 editAs="absolute">
    <xdr:from>
      <xdr:col>0</xdr:col>
      <xdr:colOff>74771</xdr:colOff>
      <xdr:row>5</xdr:row>
      <xdr:rowOff>162876</xdr:rowOff>
    </xdr:from>
    <xdr:to>
      <xdr:col>0</xdr:col>
      <xdr:colOff>895151</xdr:colOff>
      <xdr:row>7</xdr:row>
      <xdr:rowOff>160926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D02406-351F-453C-9F51-263EA80BEA8C}"/>
            </a:ext>
          </a:extLst>
        </xdr:cNvPr>
        <xdr:cNvSpPr/>
      </xdr:nvSpPr>
      <xdr:spPr>
        <a:xfrm>
          <a:off x="74771" y="1067751"/>
          <a:ext cx="82038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 editAs="absolute">
    <xdr:from>
      <xdr:col>0</xdr:col>
      <xdr:colOff>74771</xdr:colOff>
      <xdr:row>8</xdr:row>
      <xdr:rowOff>76675</xdr:rowOff>
    </xdr:from>
    <xdr:to>
      <xdr:col>0</xdr:col>
      <xdr:colOff>895151</xdr:colOff>
      <xdr:row>10</xdr:row>
      <xdr:rowOff>74725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253DA7-0F95-4BDD-9D49-1E01FAE9F67C}"/>
            </a:ext>
          </a:extLst>
        </xdr:cNvPr>
        <xdr:cNvSpPr/>
      </xdr:nvSpPr>
      <xdr:spPr>
        <a:xfrm>
          <a:off x="74771" y="1524475"/>
          <a:ext cx="820380" cy="3600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 editAs="absolute">
    <xdr:from>
      <xdr:col>0</xdr:col>
      <xdr:colOff>73819</xdr:colOff>
      <xdr:row>10</xdr:row>
      <xdr:rowOff>171449</xdr:rowOff>
    </xdr:from>
    <xdr:to>
      <xdr:col>0</xdr:col>
      <xdr:colOff>896104</xdr:colOff>
      <xdr:row>12</xdr:row>
      <xdr:rowOff>167594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7E5B474-400E-4E0C-9F31-3F840BBF3951}"/>
            </a:ext>
          </a:extLst>
        </xdr:cNvPr>
        <xdr:cNvSpPr/>
      </xdr:nvSpPr>
      <xdr:spPr>
        <a:xfrm>
          <a:off x="73819" y="1981199"/>
          <a:ext cx="822285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 editAs="absolute">
    <xdr:from>
      <xdr:col>0</xdr:col>
      <xdr:colOff>74771</xdr:colOff>
      <xdr:row>13</xdr:row>
      <xdr:rowOff>83343</xdr:rowOff>
    </xdr:from>
    <xdr:to>
      <xdr:col>0</xdr:col>
      <xdr:colOff>895151</xdr:colOff>
      <xdr:row>15</xdr:row>
      <xdr:rowOff>79488</xdr:rowOff>
    </xdr:to>
    <xdr:sp macro="" textlink="">
      <xdr:nvSpPr>
        <xdr:cNvPr id="16" name="Retângulo: Cantos Arredondado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A270594-9CFF-46B6-95B2-553B68C35ABE}"/>
            </a:ext>
          </a:extLst>
        </xdr:cNvPr>
        <xdr:cNvSpPr/>
      </xdr:nvSpPr>
      <xdr:spPr>
        <a:xfrm>
          <a:off x="74771" y="2436018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 editAs="absolute">
    <xdr:from>
      <xdr:col>0</xdr:col>
      <xdr:colOff>74771</xdr:colOff>
      <xdr:row>15</xdr:row>
      <xdr:rowOff>176212</xdr:rowOff>
    </xdr:from>
    <xdr:to>
      <xdr:col>0</xdr:col>
      <xdr:colOff>895151</xdr:colOff>
      <xdr:row>17</xdr:row>
      <xdr:rowOff>172357</xdr:rowOff>
    </xdr:to>
    <xdr:sp macro="" textlink="">
      <xdr:nvSpPr>
        <xdr:cNvPr id="17" name="Retângulo: Cantos Arredondado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D385EEB-0FCA-4D34-B0B5-47962B54F744}"/>
            </a:ext>
          </a:extLst>
        </xdr:cNvPr>
        <xdr:cNvSpPr/>
      </xdr:nvSpPr>
      <xdr:spPr>
        <a:xfrm>
          <a:off x="74771" y="2890837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 editAs="absolute">
    <xdr:from>
      <xdr:col>0</xdr:col>
      <xdr:colOff>74771</xdr:colOff>
      <xdr:row>18</xdr:row>
      <xdr:rowOff>88106</xdr:rowOff>
    </xdr:from>
    <xdr:to>
      <xdr:col>0</xdr:col>
      <xdr:colOff>895151</xdr:colOff>
      <xdr:row>20</xdr:row>
      <xdr:rowOff>84251</xdr:rowOff>
    </xdr:to>
    <xdr:sp macro="" textlink="">
      <xdr:nvSpPr>
        <xdr:cNvPr id="18" name="Retângulo: Cantos Arredond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AB9EAC3-F425-44A0-A528-16A0ED2718C0}"/>
            </a:ext>
          </a:extLst>
        </xdr:cNvPr>
        <xdr:cNvSpPr/>
      </xdr:nvSpPr>
      <xdr:spPr>
        <a:xfrm>
          <a:off x="74771" y="3345656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 editAs="absolute">
    <xdr:from>
      <xdr:col>0</xdr:col>
      <xdr:colOff>68104</xdr:colOff>
      <xdr:row>21</xdr:row>
      <xdr:rowOff>0</xdr:rowOff>
    </xdr:from>
    <xdr:to>
      <xdr:col>0</xdr:col>
      <xdr:colOff>905629</xdr:colOff>
      <xdr:row>22</xdr:row>
      <xdr:rowOff>169500</xdr:rowOff>
    </xdr:to>
    <xdr:sp macro="" textlink="">
      <xdr:nvSpPr>
        <xdr:cNvPr id="19" name="Retângulo: Cantos Arredondado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91C2D21-A5A2-4F20-AEAD-350319F2DC35}"/>
            </a:ext>
          </a:extLst>
        </xdr:cNvPr>
        <xdr:cNvSpPr/>
      </xdr:nvSpPr>
      <xdr:spPr>
        <a:xfrm>
          <a:off x="68104" y="3800475"/>
          <a:ext cx="837525" cy="3504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605790</xdr:colOff>
      <xdr:row>0</xdr:row>
      <xdr:rowOff>5715</xdr:rowOff>
    </xdr:from>
    <xdr:to>
      <xdr:col>4</xdr:col>
      <xdr:colOff>815340</xdr:colOff>
      <xdr:row>3</xdr:row>
      <xdr:rowOff>154305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598FCA-F2D9-4E69-9D2A-2F46E7725451}"/>
            </a:ext>
          </a:extLst>
        </xdr:cNvPr>
        <xdr:cNvSpPr>
          <a:spLocks noChangeAspect="1"/>
        </xdr:cNvSpPr>
      </xdr:nvSpPr>
      <xdr:spPr>
        <a:xfrm>
          <a:off x="5577840" y="5715"/>
          <a:ext cx="819150" cy="69151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 editAs="absolute">
    <xdr:from>
      <xdr:col>0</xdr:col>
      <xdr:colOff>73819</xdr:colOff>
      <xdr:row>0</xdr:row>
      <xdr:rowOff>156208</xdr:rowOff>
    </xdr:from>
    <xdr:to>
      <xdr:col>0</xdr:col>
      <xdr:colOff>899914</xdr:colOff>
      <xdr:row>2</xdr:row>
      <xdr:rowOff>154258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7127D5-131B-48FE-B15C-362C879D03B2}"/>
            </a:ext>
          </a:extLst>
        </xdr:cNvPr>
        <xdr:cNvSpPr/>
      </xdr:nvSpPr>
      <xdr:spPr>
        <a:xfrm>
          <a:off x="73819" y="156208"/>
          <a:ext cx="82609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 editAs="absolute">
    <xdr:from>
      <xdr:col>0</xdr:col>
      <xdr:colOff>70009</xdr:colOff>
      <xdr:row>3</xdr:row>
      <xdr:rowOff>70007</xdr:rowOff>
    </xdr:from>
    <xdr:to>
      <xdr:col>0</xdr:col>
      <xdr:colOff>898009</xdr:colOff>
      <xdr:row>5</xdr:row>
      <xdr:rowOff>66152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D7E966-8DDD-4DEA-889F-EBC16363D618}"/>
            </a:ext>
          </a:extLst>
        </xdr:cNvPr>
        <xdr:cNvSpPr/>
      </xdr:nvSpPr>
      <xdr:spPr>
        <a:xfrm>
          <a:off x="70009" y="612932"/>
          <a:ext cx="82800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 editAs="absolute">
    <xdr:from>
      <xdr:col>0</xdr:col>
      <xdr:colOff>74771</xdr:colOff>
      <xdr:row>5</xdr:row>
      <xdr:rowOff>162876</xdr:rowOff>
    </xdr:from>
    <xdr:to>
      <xdr:col>0</xdr:col>
      <xdr:colOff>895151</xdr:colOff>
      <xdr:row>7</xdr:row>
      <xdr:rowOff>160926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3AEBA14-A73C-433B-B3EB-46BE27298623}"/>
            </a:ext>
          </a:extLst>
        </xdr:cNvPr>
        <xdr:cNvSpPr/>
      </xdr:nvSpPr>
      <xdr:spPr>
        <a:xfrm>
          <a:off x="74771" y="1067751"/>
          <a:ext cx="82038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 editAs="absolute">
    <xdr:from>
      <xdr:col>0</xdr:col>
      <xdr:colOff>74771</xdr:colOff>
      <xdr:row>8</xdr:row>
      <xdr:rowOff>76675</xdr:rowOff>
    </xdr:from>
    <xdr:to>
      <xdr:col>0</xdr:col>
      <xdr:colOff>895151</xdr:colOff>
      <xdr:row>10</xdr:row>
      <xdr:rowOff>74725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64E0461-6A58-4031-AC96-1942A09CD6E5}"/>
            </a:ext>
          </a:extLst>
        </xdr:cNvPr>
        <xdr:cNvSpPr/>
      </xdr:nvSpPr>
      <xdr:spPr>
        <a:xfrm>
          <a:off x="74771" y="1524475"/>
          <a:ext cx="82038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 editAs="absolute">
    <xdr:from>
      <xdr:col>0</xdr:col>
      <xdr:colOff>73819</xdr:colOff>
      <xdr:row>10</xdr:row>
      <xdr:rowOff>171449</xdr:rowOff>
    </xdr:from>
    <xdr:to>
      <xdr:col>0</xdr:col>
      <xdr:colOff>896104</xdr:colOff>
      <xdr:row>12</xdr:row>
      <xdr:rowOff>167594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8D9C655-1594-47C4-B899-04AC44BB2E54}"/>
            </a:ext>
          </a:extLst>
        </xdr:cNvPr>
        <xdr:cNvSpPr/>
      </xdr:nvSpPr>
      <xdr:spPr>
        <a:xfrm>
          <a:off x="73819" y="1981199"/>
          <a:ext cx="822285" cy="35809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 editAs="absolute">
    <xdr:from>
      <xdr:col>0</xdr:col>
      <xdr:colOff>74771</xdr:colOff>
      <xdr:row>13</xdr:row>
      <xdr:rowOff>83343</xdr:rowOff>
    </xdr:from>
    <xdr:to>
      <xdr:col>0</xdr:col>
      <xdr:colOff>895151</xdr:colOff>
      <xdr:row>15</xdr:row>
      <xdr:rowOff>79488</xdr:rowOff>
    </xdr:to>
    <xdr:sp macro="" textlink="">
      <xdr:nvSpPr>
        <xdr:cNvPr id="16" name="Retângulo: Cantos Arredondado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B7FB2A7-97B6-4990-8969-10AE4A387EA0}"/>
            </a:ext>
          </a:extLst>
        </xdr:cNvPr>
        <xdr:cNvSpPr/>
      </xdr:nvSpPr>
      <xdr:spPr>
        <a:xfrm>
          <a:off x="74771" y="2436018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 editAs="absolute">
    <xdr:from>
      <xdr:col>0</xdr:col>
      <xdr:colOff>74771</xdr:colOff>
      <xdr:row>15</xdr:row>
      <xdr:rowOff>176212</xdr:rowOff>
    </xdr:from>
    <xdr:to>
      <xdr:col>0</xdr:col>
      <xdr:colOff>895151</xdr:colOff>
      <xdr:row>17</xdr:row>
      <xdr:rowOff>172357</xdr:rowOff>
    </xdr:to>
    <xdr:sp macro="" textlink="">
      <xdr:nvSpPr>
        <xdr:cNvPr id="17" name="Retângulo: Cantos Arredondado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85E123A-4238-47B8-A5A7-8212757491C1}"/>
            </a:ext>
          </a:extLst>
        </xdr:cNvPr>
        <xdr:cNvSpPr/>
      </xdr:nvSpPr>
      <xdr:spPr>
        <a:xfrm>
          <a:off x="74771" y="2890837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 editAs="absolute">
    <xdr:from>
      <xdr:col>0</xdr:col>
      <xdr:colOff>74771</xdr:colOff>
      <xdr:row>18</xdr:row>
      <xdr:rowOff>88106</xdr:rowOff>
    </xdr:from>
    <xdr:to>
      <xdr:col>0</xdr:col>
      <xdr:colOff>895151</xdr:colOff>
      <xdr:row>20</xdr:row>
      <xdr:rowOff>84251</xdr:rowOff>
    </xdr:to>
    <xdr:sp macro="" textlink="">
      <xdr:nvSpPr>
        <xdr:cNvPr id="18" name="Retângulo: Cantos Arredond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7CA51B2-368D-40AB-B284-76071B76B00A}"/>
            </a:ext>
          </a:extLst>
        </xdr:cNvPr>
        <xdr:cNvSpPr/>
      </xdr:nvSpPr>
      <xdr:spPr>
        <a:xfrm>
          <a:off x="74771" y="3345656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 editAs="absolute">
    <xdr:from>
      <xdr:col>0</xdr:col>
      <xdr:colOff>68104</xdr:colOff>
      <xdr:row>21</xdr:row>
      <xdr:rowOff>0</xdr:rowOff>
    </xdr:from>
    <xdr:to>
      <xdr:col>0</xdr:col>
      <xdr:colOff>905629</xdr:colOff>
      <xdr:row>22</xdr:row>
      <xdr:rowOff>173310</xdr:rowOff>
    </xdr:to>
    <xdr:sp macro="" textlink="">
      <xdr:nvSpPr>
        <xdr:cNvPr id="19" name="Retângulo: Cantos Arredondado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1F2C6B3-36A7-453A-8D13-55F5376849C5}"/>
            </a:ext>
          </a:extLst>
        </xdr:cNvPr>
        <xdr:cNvSpPr/>
      </xdr:nvSpPr>
      <xdr:spPr>
        <a:xfrm>
          <a:off x="68104" y="3800475"/>
          <a:ext cx="837525" cy="35428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9525</xdr:colOff>
      <xdr:row>0</xdr:row>
      <xdr:rowOff>57150</xdr:rowOff>
    </xdr:from>
    <xdr:to>
      <xdr:col>5</xdr:col>
      <xdr:colOff>0</xdr:colOff>
      <xdr:row>4</xdr:row>
      <xdr:rowOff>15240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5A25A0-AE0F-42C7-8E59-2353D6429494}"/>
            </a:ext>
          </a:extLst>
        </xdr:cNvPr>
        <xdr:cNvSpPr>
          <a:spLocks noChangeAspect="1"/>
        </xdr:cNvSpPr>
      </xdr:nvSpPr>
      <xdr:spPr>
        <a:xfrm>
          <a:off x="5229225" y="57150"/>
          <a:ext cx="847725" cy="681990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 editAs="absolute">
    <xdr:from>
      <xdr:col>0</xdr:col>
      <xdr:colOff>73819</xdr:colOff>
      <xdr:row>0</xdr:row>
      <xdr:rowOff>156208</xdr:rowOff>
    </xdr:from>
    <xdr:to>
      <xdr:col>0</xdr:col>
      <xdr:colOff>899914</xdr:colOff>
      <xdr:row>2</xdr:row>
      <xdr:rowOff>154258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A6C84C0-FCCF-4AE3-988F-53E1757B8BFE}"/>
            </a:ext>
          </a:extLst>
        </xdr:cNvPr>
        <xdr:cNvSpPr/>
      </xdr:nvSpPr>
      <xdr:spPr>
        <a:xfrm>
          <a:off x="73819" y="156208"/>
          <a:ext cx="82609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 editAs="absolute">
    <xdr:from>
      <xdr:col>0</xdr:col>
      <xdr:colOff>72866</xdr:colOff>
      <xdr:row>3</xdr:row>
      <xdr:rowOff>65245</xdr:rowOff>
    </xdr:from>
    <xdr:to>
      <xdr:col>0</xdr:col>
      <xdr:colOff>900866</xdr:colOff>
      <xdr:row>5</xdr:row>
      <xdr:rowOff>69010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E14189D-B018-4D68-8872-8C8731AED764}"/>
            </a:ext>
          </a:extLst>
        </xdr:cNvPr>
        <xdr:cNvSpPr/>
      </xdr:nvSpPr>
      <xdr:spPr>
        <a:xfrm>
          <a:off x="72866" y="608170"/>
          <a:ext cx="828000" cy="36571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 editAs="absolute">
    <xdr:from>
      <xdr:col>0</xdr:col>
      <xdr:colOff>71914</xdr:colOff>
      <xdr:row>5</xdr:row>
      <xdr:rowOff>168592</xdr:rowOff>
    </xdr:from>
    <xdr:to>
      <xdr:col>0</xdr:col>
      <xdr:colOff>901819</xdr:colOff>
      <xdr:row>7</xdr:row>
      <xdr:rowOff>164737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B845295-4EF9-4498-B376-98CFE3592A7A}"/>
            </a:ext>
          </a:extLst>
        </xdr:cNvPr>
        <xdr:cNvSpPr/>
      </xdr:nvSpPr>
      <xdr:spPr>
        <a:xfrm>
          <a:off x="71914" y="1073467"/>
          <a:ext cx="829905" cy="36762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 editAs="absolute">
    <xdr:from>
      <xdr:col>0</xdr:col>
      <xdr:colOff>71914</xdr:colOff>
      <xdr:row>8</xdr:row>
      <xdr:rowOff>75723</xdr:rowOff>
    </xdr:from>
    <xdr:to>
      <xdr:col>0</xdr:col>
      <xdr:colOff>901819</xdr:colOff>
      <xdr:row>10</xdr:row>
      <xdr:rowOff>73773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332ED2-7246-4E31-ABB3-9DFC64BDD7F4}"/>
            </a:ext>
          </a:extLst>
        </xdr:cNvPr>
        <xdr:cNvSpPr/>
      </xdr:nvSpPr>
      <xdr:spPr>
        <a:xfrm>
          <a:off x="71914" y="1533048"/>
          <a:ext cx="82990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 editAs="absolute">
    <xdr:from>
      <xdr:col>0</xdr:col>
      <xdr:colOff>70961</xdr:colOff>
      <xdr:row>10</xdr:row>
      <xdr:rowOff>171449</xdr:rowOff>
    </xdr:from>
    <xdr:to>
      <xdr:col>0</xdr:col>
      <xdr:colOff>902771</xdr:colOff>
      <xdr:row>12</xdr:row>
      <xdr:rowOff>165689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2506F29-8BDF-4E1E-868B-E840C53569EF}"/>
            </a:ext>
          </a:extLst>
        </xdr:cNvPr>
        <xdr:cNvSpPr/>
      </xdr:nvSpPr>
      <xdr:spPr>
        <a:xfrm>
          <a:off x="70961" y="1990724"/>
          <a:ext cx="831810" cy="35619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 editAs="absolute">
    <xdr:from>
      <xdr:col>0</xdr:col>
      <xdr:colOff>71914</xdr:colOff>
      <xdr:row>13</xdr:row>
      <xdr:rowOff>76675</xdr:rowOff>
    </xdr:from>
    <xdr:to>
      <xdr:col>0</xdr:col>
      <xdr:colOff>901819</xdr:colOff>
      <xdr:row>15</xdr:row>
      <xdr:rowOff>82345</xdr:rowOff>
    </xdr:to>
    <xdr:sp macro="" textlink="">
      <xdr:nvSpPr>
        <xdr:cNvPr id="16" name="Retângulo: Cantos Arredondado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986A66A-50A5-4D2F-8924-5336BD6AF777}"/>
            </a:ext>
          </a:extLst>
        </xdr:cNvPr>
        <xdr:cNvSpPr/>
      </xdr:nvSpPr>
      <xdr:spPr>
        <a:xfrm>
          <a:off x="71914" y="2438875"/>
          <a:ext cx="829905" cy="36762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 editAs="absolute">
    <xdr:from>
      <xdr:col>0</xdr:col>
      <xdr:colOff>71914</xdr:colOff>
      <xdr:row>15</xdr:row>
      <xdr:rowOff>170497</xdr:rowOff>
    </xdr:from>
    <xdr:to>
      <xdr:col>0</xdr:col>
      <xdr:colOff>901819</xdr:colOff>
      <xdr:row>17</xdr:row>
      <xdr:rowOff>174262</xdr:rowOff>
    </xdr:to>
    <xdr:sp macro="" textlink="">
      <xdr:nvSpPr>
        <xdr:cNvPr id="17" name="Retângulo: Cantos Arredondado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7A18C8-1B2A-49C2-8398-30DFB4A302F3}"/>
            </a:ext>
          </a:extLst>
        </xdr:cNvPr>
        <xdr:cNvSpPr/>
      </xdr:nvSpPr>
      <xdr:spPr>
        <a:xfrm>
          <a:off x="71914" y="2894647"/>
          <a:ext cx="829905" cy="36571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 editAs="absolute">
    <xdr:from>
      <xdr:col>0</xdr:col>
      <xdr:colOff>71914</xdr:colOff>
      <xdr:row>18</xdr:row>
      <xdr:rowOff>94773</xdr:rowOff>
    </xdr:from>
    <xdr:to>
      <xdr:col>0</xdr:col>
      <xdr:colOff>901819</xdr:colOff>
      <xdr:row>20</xdr:row>
      <xdr:rowOff>89013</xdr:rowOff>
    </xdr:to>
    <xdr:sp macro="" textlink="">
      <xdr:nvSpPr>
        <xdr:cNvPr id="18" name="Retângulo: Cantos Arredond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D81C47F-6717-4F08-BA5F-483760C2B9ED}"/>
            </a:ext>
          </a:extLst>
        </xdr:cNvPr>
        <xdr:cNvSpPr/>
      </xdr:nvSpPr>
      <xdr:spPr>
        <a:xfrm>
          <a:off x="71914" y="3361848"/>
          <a:ext cx="829905" cy="35619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 editAs="absolute">
    <xdr:from>
      <xdr:col>0</xdr:col>
      <xdr:colOff>68104</xdr:colOff>
      <xdr:row>21</xdr:row>
      <xdr:rowOff>0</xdr:rowOff>
    </xdr:from>
    <xdr:to>
      <xdr:col>0</xdr:col>
      <xdr:colOff>905629</xdr:colOff>
      <xdr:row>22</xdr:row>
      <xdr:rowOff>173310</xdr:rowOff>
    </xdr:to>
    <xdr:sp macro="" textlink="">
      <xdr:nvSpPr>
        <xdr:cNvPr id="19" name="Retângulo: Cantos Arredondado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3CF3C97-D529-4C67-90E6-D8F97A0DD1B5}"/>
            </a:ext>
          </a:extLst>
        </xdr:cNvPr>
        <xdr:cNvSpPr/>
      </xdr:nvSpPr>
      <xdr:spPr>
        <a:xfrm>
          <a:off x="68104" y="3810000"/>
          <a:ext cx="837525" cy="35428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605790</xdr:colOff>
      <xdr:row>0</xdr:row>
      <xdr:rowOff>30480</xdr:rowOff>
    </xdr:from>
    <xdr:to>
      <xdr:col>4</xdr:col>
      <xdr:colOff>847725</xdr:colOff>
      <xdr:row>3</xdr:row>
      <xdr:rowOff>163830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B7414F-3F9C-40B5-A987-0A48B4657B0A}"/>
            </a:ext>
          </a:extLst>
        </xdr:cNvPr>
        <xdr:cNvSpPr>
          <a:spLocks noChangeAspect="1"/>
        </xdr:cNvSpPr>
      </xdr:nvSpPr>
      <xdr:spPr>
        <a:xfrm>
          <a:off x="5101590" y="30480"/>
          <a:ext cx="851535" cy="676275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 editAs="absolute">
    <xdr:from>
      <xdr:col>0</xdr:col>
      <xdr:colOff>73819</xdr:colOff>
      <xdr:row>0</xdr:row>
      <xdr:rowOff>156208</xdr:rowOff>
    </xdr:from>
    <xdr:to>
      <xdr:col>0</xdr:col>
      <xdr:colOff>899914</xdr:colOff>
      <xdr:row>2</xdr:row>
      <xdr:rowOff>154258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584CDA-CCF6-43A7-BA5F-4212240CD17C}"/>
            </a:ext>
          </a:extLst>
        </xdr:cNvPr>
        <xdr:cNvSpPr/>
      </xdr:nvSpPr>
      <xdr:spPr>
        <a:xfrm>
          <a:off x="73819" y="156208"/>
          <a:ext cx="82609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 editAs="absolute">
    <xdr:from>
      <xdr:col>0</xdr:col>
      <xdr:colOff>70009</xdr:colOff>
      <xdr:row>3</xdr:row>
      <xdr:rowOff>70007</xdr:rowOff>
    </xdr:from>
    <xdr:to>
      <xdr:col>0</xdr:col>
      <xdr:colOff>898009</xdr:colOff>
      <xdr:row>5</xdr:row>
      <xdr:rowOff>66152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A8FE06-85ED-49BF-8E50-C32068C9B5BF}"/>
            </a:ext>
          </a:extLst>
        </xdr:cNvPr>
        <xdr:cNvSpPr/>
      </xdr:nvSpPr>
      <xdr:spPr>
        <a:xfrm>
          <a:off x="70009" y="612932"/>
          <a:ext cx="82800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 editAs="absolute">
    <xdr:from>
      <xdr:col>0</xdr:col>
      <xdr:colOff>74771</xdr:colOff>
      <xdr:row>5</xdr:row>
      <xdr:rowOff>162876</xdr:rowOff>
    </xdr:from>
    <xdr:to>
      <xdr:col>0</xdr:col>
      <xdr:colOff>895151</xdr:colOff>
      <xdr:row>7</xdr:row>
      <xdr:rowOff>160926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69AFBA-2569-42E4-87D6-1A5328F07678}"/>
            </a:ext>
          </a:extLst>
        </xdr:cNvPr>
        <xdr:cNvSpPr/>
      </xdr:nvSpPr>
      <xdr:spPr>
        <a:xfrm>
          <a:off x="74771" y="1067751"/>
          <a:ext cx="82038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 editAs="absolute">
    <xdr:from>
      <xdr:col>0</xdr:col>
      <xdr:colOff>74771</xdr:colOff>
      <xdr:row>8</xdr:row>
      <xdr:rowOff>76675</xdr:rowOff>
    </xdr:from>
    <xdr:to>
      <xdr:col>0</xdr:col>
      <xdr:colOff>895151</xdr:colOff>
      <xdr:row>10</xdr:row>
      <xdr:rowOff>74725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B68F583-3832-47DC-9309-129541F7AFA3}"/>
            </a:ext>
          </a:extLst>
        </xdr:cNvPr>
        <xdr:cNvSpPr/>
      </xdr:nvSpPr>
      <xdr:spPr>
        <a:xfrm>
          <a:off x="74771" y="1524475"/>
          <a:ext cx="82038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 editAs="absolute">
    <xdr:from>
      <xdr:col>0</xdr:col>
      <xdr:colOff>73819</xdr:colOff>
      <xdr:row>10</xdr:row>
      <xdr:rowOff>171449</xdr:rowOff>
    </xdr:from>
    <xdr:to>
      <xdr:col>0</xdr:col>
      <xdr:colOff>896104</xdr:colOff>
      <xdr:row>12</xdr:row>
      <xdr:rowOff>167594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1743F1-425A-4845-BD40-5AB7E220F663}"/>
            </a:ext>
          </a:extLst>
        </xdr:cNvPr>
        <xdr:cNvSpPr/>
      </xdr:nvSpPr>
      <xdr:spPr>
        <a:xfrm>
          <a:off x="73819" y="1981199"/>
          <a:ext cx="822285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 editAs="absolute">
    <xdr:from>
      <xdr:col>0</xdr:col>
      <xdr:colOff>74771</xdr:colOff>
      <xdr:row>13</xdr:row>
      <xdr:rowOff>83343</xdr:rowOff>
    </xdr:from>
    <xdr:to>
      <xdr:col>0</xdr:col>
      <xdr:colOff>895151</xdr:colOff>
      <xdr:row>15</xdr:row>
      <xdr:rowOff>79488</xdr:rowOff>
    </xdr:to>
    <xdr:sp macro="" textlink="">
      <xdr:nvSpPr>
        <xdr:cNvPr id="16" name="Retângulo: Cantos Arredondado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A7146E7-CB70-4674-8042-4E96D019CCB8}"/>
            </a:ext>
          </a:extLst>
        </xdr:cNvPr>
        <xdr:cNvSpPr/>
      </xdr:nvSpPr>
      <xdr:spPr>
        <a:xfrm>
          <a:off x="74771" y="2436018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 editAs="absolute">
    <xdr:from>
      <xdr:col>0</xdr:col>
      <xdr:colOff>74771</xdr:colOff>
      <xdr:row>15</xdr:row>
      <xdr:rowOff>176212</xdr:rowOff>
    </xdr:from>
    <xdr:to>
      <xdr:col>0</xdr:col>
      <xdr:colOff>895151</xdr:colOff>
      <xdr:row>17</xdr:row>
      <xdr:rowOff>172357</xdr:rowOff>
    </xdr:to>
    <xdr:sp macro="" textlink="">
      <xdr:nvSpPr>
        <xdr:cNvPr id="17" name="Retângulo: Cantos Arredondado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A7D222-5C20-4ED5-AC94-76CABE41DF14}"/>
            </a:ext>
          </a:extLst>
        </xdr:cNvPr>
        <xdr:cNvSpPr/>
      </xdr:nvSpPr>
      <xdr:spPr>
        <a:xfrm>
          <a:off x="74771" y="2890837"/>
          <a:ext cx="820380" cy="35809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 editAs="absolute">
    <xdr:from>
      <xdr:col>0</xdr:col>
      <xdr:colOff>74771</xdr:colOff>
      <xdr:row>18</xdr:row>
      <xdr:rowOff>88106</xdr:rowOff>
    </xdr:from>
    <xdr:to>
      <xdr:col>0</xdr:col>
      <xdr:colOff>895151</xdr:colOff>
      <xdr:row>20</xdr:row>
      <xdr:rowOff>84251</xdr:rowOff>
    </xdr:to>
    <xdr:sp macro="" textlink="">
      <xdr:nvSpPr>
        <xdr:cNvPr id="18" name="Retângulo: Cantos Arredondados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11F069E-21BC-415C-BE44-29EE611B4BE0}"/>
            </a:ext>
          </a:extLst>
        </xdr:cNvPr>
        <xdr:cNvSpPr/>
      </xdr:nvSpPr>
      <xdr:spPr>
        <a:xfrm>
          <a:off x="74771" y="3345656"/>
          <a:ext cx="820380" cy="35809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>
    <xdr:from>
      <xdr:col>0</xdr:col>
      <xdr:colOff>68104</xdr:colOff>
      <xdr:row>21</xdr:row>
      <xdr:rowOff>0</xdr:rowOff>
    </xdr:from>
    <xdr:to>
      <xdr:col>0</xdr:col>
      <xdr:colOff>905629</xdr:colOff>
      <xdr:row>22</xdr:row>
      <xdr:rowOff>169500</xdr:rowOff>
    </xdr:to>
    <xdr:sp macro="" textlink="">
      <xdr:nvSpPr>
        <xdr:cNvPr id="19" name="Retângulo: Cantos Arredondados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36F462B-80CB-4C2C-9350-3D2150622F4D}"/>
            </a:ext>
          </a:extLst>
        </xdr:cNvPr>
        <xdr:cNvSpPr/>
      </xdr:nvSpPr>
      <xdr:spPr>
        <a:xfrm>
          <a:off x="68104" y="3800475"/>
          <a:ext cx="837525" cy="3504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  <xdr:twoCellAnchor editAs="absolute">
    <xdr:from>
      <xdr:col>0</xdr:col>
      <xdr:colOff>68104</xdr:colOff>
      <xdr:row>21</xdr:row>
      <xdr:rowOff>0</xdr:rowOff>
    </xdr:from>
    <xdr:to>
      <xdr:col>0</xdr:col>
      <xdr:colOff>905629</xdr:colOff>
      <xdr:row>22</xdr:row>
      <xdr:rowOff>173310</xdr:rowOff>
    </xdr:to>
    <xdr:sp macro="" textlink="">
      <xdr:nvSpPr>
        <xdr:cNvPr id="20" name="Retângulo: Cantos Arredondados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CD38675-BAA8-4BD7-AC39-7CC3655D3877}"/>
            </a:ext>
          </a:extLst>
        </xdr:cNvPr>
        <xdr:cNvSpPr/>
      </xdr:nvSpPr>
      <xdr:spPr>
        <a:xfrm>
          <a:off x="68104" y="3800475"/>
          <a:ext cx="837525" cy="35428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73819</xdr:colOff>
      <xdr:row>0</xdr:row>
      <xdr:rowOff>156208</xdr:rowOff>
    </xdr:from>
    <xdr:to>
      <xdr:col>0</xdr:col>
      <xdr:colOff>892294</xdr:colOff>
      <xdr:row>2</xdr:row>
      <xdr:rowOff>154258</xdr:rowOff>
    </xdr:to>
    <xdr:sp macro="" textlink="">
      <xdr:nvSpPr>
        <xdr:cNvPr id="10" name="Retângulo: Cantos Arredondados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5F60D4-1A0A-48FA-98ED-18F3CAC9E39D}"/>
            </a:ext>
          </a:extLst>
        </xdr:cNvPr>
        <xdr:cNvSpPr/>
      </xdr:nvSpPr>
      <xdr:spPr>
        <a:xfrm>
          <a:off x="73819" y="156208"/>
          <a:ext cx="826095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ADOILSON</a:t>
          </a:r>
        </a:p>
      </xdr:txBody>
    </xdr:sp>
    <xdr:clientData/>
  </xdr:twoCellAnchor>
  <xdr:twoCellAnchor editAs="absolute">
    <xdr:from>
      <xdr:col>0</xdr:col>
      <xdr:colOff>60484</xdr:colOff>
      <xdr:row>3</xdr:row>
      <xdr:rowOff>60482</xdr:rowOff>
    </xdr:from>
    <xdr:to>
      <xdr:col>0</xdr:col>
      <xdr:colOff>898009</xdr:colOff>
      <xdr:row>5</xdr:row>
      <xdr:rowOff>60437</xdr:rowOff>
    </xdr:to>
    <xdr:sp macro="" textlink="">
      <xdr:nvSpPr>
        <xdr:cNvPr id="11" name="Retângulo: Cantos Arredondado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D70CE7-2536-42A1-AF81-0D8F4DBC79DD}"/>
            </a:ext>
          </a:extLst>
        </xdr:cNvPr>
        <xdr:cNvSpPr/>
      </xdr:nvSpPr>
      <xdr:spPr>
        <a:xfrm>
          <a:off x="70009" y="612932"/>
          <a:ext cx="82800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ANGELYCA</a:t>
          </a:r>
        </a:p>
      </xdr:txBody>
    </xdr:sp>
    <xdr:clientData/>
  </xdr:twoCellAnchor>
  <xdr:twoCellAnchor editAs="absolute">
    <xdr:from>
      <xdr:col>0</xdr:col>
      <xdr:colOff>74771</xdr:colOff>
      <xdr:row>5</xdr:row>
      <xdr:rowOff>168591</xdr:rowOff>
    </xdr:from>
    <xdr:to>
      <xdr:col>0</xdr:col>
      <xdr:colOff>895151</xdr:colOff>
      <xdr:row>7</xdr:row>
      <xdr:rowOff>172356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B0537E9-3AE4-4A04-8190-B12265D13967}"/>
            </a:ext>
          </a:extLst>
        </xdr:cNvPr>
        <xdr:cNvSpPr/>
      </xdr:nvSpPr>
      <xdr:spPr>
        <a:xfrm>
          <a:off x="74771" y="1067751"/>
          <a:ext cx="82038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ERICE</a:t>
          </a:r>
        </a:p>
      </xdr:txBody>
    </xdr:sp>
    <xdr:clientData/>
  </xdr:twoCellAnchor>
  <xdr:twoCellAnchor editAs="absolute">
    <xdr:from>
      <xdr:col>0</xdr:col>
      <xdr:colOff>74771</xdr:colOff>
      <xdr:row>9</xdr:row>
      <xdr:rowOff>76675</xdr:rowOff>
    </xdr:from>
    <xdr:to>
      <xdr:col>0</xdr:col>
      <xdr:colOff>895151</xdr:colOff>
      <xdr:row>18</xdr:row>
      <xdr:rowOff>74725</xdr:rowOff>
    </xdr:to>
    <xdr:sp macro="" textlink="">
      <xdr:nvSpPr>
        <xdr:cNvPr id="13" name="Retângulo: Cantos Arredondado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0E29DD-3D6D-41F3-A6B9-8C182AC6CF38}"/>
            </a:ext>
          </a:extLst>
        </xdr:cNvPr>
        <xdr:cNvSpPr/>
      </xdr:nvSpPr>
      <xdr:spPr>
        <a:xfrm>
          <a:off x="74771" y="1524475"/>
          <a:ext cx="82038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GENILSON</a:t>
          </a:r>
        </a:p>
      </xdr:txBody>
    </xdr:sp>
    <xdr:clientData/>
  </xdr:twoCellAnchor>
  <xdr:twoCellAnchor editAs="absolute">
    <xdr:from>
      <xdr:col>0</xdr:col>
      <xdr:colOff>73819</xdr:colOff>
      <xdr:row>18</xdr:row>
      <xdr:rowOff>171449</xdr:rowOff>
    </xdr:from>
    <xdr:to>
      <xdr:col>0</xdr:col>
      <xdr:colOff>896104</xdr:colOff>
      <xdr:row>20</xdr:row>
      <xdr:rowOff>175214</xdr:rowOff>
    </xdr:to>
    <xdr:sp macro="" textlink="">
      <xdr:nvSpPr>
        <xdr:cNvPr id="14" name="Retângulo: Cantos Arredondado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B83F395-1B97-4D35-A7FA-B31785EEC021}"/>
            </a:ext>
          </a:extLst>
        </xdr:cNvPr>
        <xdr:cNvSpPr/>
      </xdr:nvSpPr>
      <xdr:spPr>
        <a:xfrm>
          <a:off x="73819" y="1981199"/>
          <a:ext cx="822285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GUSTAVO</a:t>
          </a:r>
        </a:p>
      </xdr:txBody>
    </xdr:sp>
    <xdr:clientData/>
  </xdr:twoCellAnchor>
  <xdr:twoCellAnchor editAs="absolute">
    <xdr:from>
      <xdr:col>0</xdr:col>
      <xdr:colOff>74771</xdr:colOff>
      <xdr:row>21</xdr:row>
      <xdr:rowOff>92868</xdr:rowOff>
    </xdr:from>
    <xdr:to>
      <xdr:col>0</xdr:col>
      <xdr:colOff>895151</xdr:colOff>
      <xdr:row>23</xdr:row>
      <xdr:rowOff>79488</xdr:rowOff>
    </xdr:to>
    <xdr:sp macro="" textlink="">
      <xdr:nvSpPr>
        <xdr:cNvPr id="15" name="Retângulo: Cantos Arredondado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8098661-1809-40BE-92F3-DC6C2E47E77D}"/>
            </a:ext>
          </a:extLst>
        </xdr:cNvPr>
        <xdr:cNvSpPr/>
      </xdr:nvSpPr>
      <xdr:spPr>
        <a:xfrm>
          <a:off x="74771" y="2436018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bg1"/>
              </a:solidFill>
            </a:rPr>
            <a:t>SABRINA</a:t>
          </a:r>
        </a:p>
      </xdr:txBody>
    </xdr:sp>
    <xdr:clientData/>
  </xdr:twoCellAnchor>
  <xdr:twoCellAnchor editAs="absolute">
    <xdr:from>
      <xdr:col>0</xdr:col>
      <xdr:colOff>74771</xdr:colOff>
      <xdr:row>23</xdr:row>
      <xdr:rowOff>168592</xdr:rowOff>
    </xdr:from>
    <xdr:to>
      <xdr:col>0</xdr:col>
      <xdr:colOff>895151</xdr:colOff>
      <xdr:row>25</xdr:row>
      <xdr:rowOff>172357</xdr:rowOff>
    </xdr:to>
    <xdr:sp macro="" textlink="">
      <xdr:nvSpPr>
        <xdr:cNvPr id="16" name="Retângulo: Cantos Arredondados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590727-1661-48AC-9660-EA3F598166A5}"/>
            </a:ext>
          </a:extLst>
        </xdr:cNvPr>
        <xdr:cNvSpPr/>
      </xdr:nvSpPr>
      <xdr:spPr>
        <a:xfrm>
          <a:off x="74771" y="2890837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AMANDA</a:t>
          </a:r>
        </a:p>
      </xdr:txBody>
    </xdr:sp>
    <xdr:clientData/>
  </xdr:twoCellAnchor>
  <xdr:twoCellAnchor editAs="absolute">
    <xdr:from>
      <xdr:col>0</xdr:col>
      <xdr:colOff>74771</xdr:colOff>
      <xdr:row>26</xdr:row>
      <xdr:rowOff>95726</xdr:rowOff>
    </xdr:from>
    <xdr:to>
      <xdr:col>0</xdr:col>
      <xdr:colOff>895151</xdr:colOff>
      <xdr:row>28</xdr:row>
      <xdr:rowOff>95681</xdr:rowOff>
    </xdr:to>
    <xdr:sp macro="" textlink="">
      <xdr:nvSpPr>
        <xdr:cNvPr id="17" name="Retângulo: Cantos Arredondados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C694E9E-F69E-4478-B5DC-5DE8DAAD0658}"/>
            </a:ext>
          </a:extLst>
        </xdr:cNvPr>
        <xdr:cNvSpPr/>
      </xdr:nvSpPr>
      <xdr:spPr>
        <a:xfrm>
          <a:off x="74771" y="3345656"/>
          <a:ext cx="820380" cy="35809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DIEGO</a:t>
          </a:r>
        </a:p>
      </xdr:txBody>
    </xdr:sp>
    <xdr:clientData/>
  </xdr:twoCellAnchor>
  <xdr:twoCellAnchor editAs="absolute">
    <xdr:from>
      <xdr:col>4</xdr:col>
      <xdr:colOff>607695</xdr:colOff>
      <xdr:row>0</xdr:row>
      <xdr:rowOff>40005</xdr:rowOff>
    </xdr:from>
    <xdr:to>
      <xdr:col>6</xdr:col>
      <xdr:colOff>0</xdr:colOff>
      <xdr:row>3</xdr:row>
      <xdr:rowOff>171450</xdr:rowOff>
    </xdr:to>
    <xdr:sp macro="" textlink="">
      <xdr:nvSpPr>
        <xdr:cNvPr id="18" name="Seta: para a Esquerda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3BECD4E-EE60-4234-BE16-AC0B68B038BE}"/>
            </a:ext>
          </a:extLst>
        </xdr:cNvPr>
        <xdr:cNvSpPr>
          <a:spLocks noChangeAspect="1"/>
        </xdr:cNvSpPr>
      </xdr:nvSpPr>
      <xdr:spPr>
        <a:xfrm>
          <a:off x="6770370" y="40005"/>
          <a:ext cx="859155" cy="674370"/>
        </a:xfrm>
        <a:prstGeom prst="lef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VOLTAR</a:t>
          </a:r>
        </a:p>
      </xdr:txBody>
    </xdr:sp>
    <xdr:clientData/>
  </xdr:twoCellAnchor>
  <xdr:twoCellAnchor editAs="absolute">
    <xdr:from>
      <xdr:col>0</xdr:col>
      <xdr:colOff>56674</xdr:colOff>
      <xdr:row>29</xdr:row>
      <xdr:rowOff>0</xdr:rowOff>
    </xdr:from>
    <xdr:to>
      <xdr:col>0</xdr:col>
      <xdr:colOff>894199</xdr:colOff>
      <xdr:row>30</xdr:row>
      <xdr:rowOff>169500</xdr:rowOff>
    </xdr:to>
    <xdr:sp macro="" textlink="">
      <xdr:nvSpPr>
        <xdr:cNvPr id="19" name="Retângulo: Cantos Arredondado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C87692F-DF78-4296-B02F-6ED708EA0D34}"/>
            </a:ext>
          </a:extLst>
        </xdr:cNvPr>
        <xdr:cNvSpPr/>
      </xdr:nvSpPr>
      <xdr:spPr>
        <a:xfrm>
          <a:off x="68104" y="3800475"/>
          <a:ext cx="837525" cy="35047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TODOS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92006388\AppData\Local\Microsoft\Windows\INetCache\Content.Outlook\MIPJIPV4\Pasta1.xlsx" TargetMode="External"/><Relationship Id="rId1" Type="http://schemas.openxmlformats.org/officeDocument/2006/relationships/externalLinkPath" Target="file:///C:\Users\92006388\AppData\Local\Microsoft\Windows\INetCache\Content.Outlook\MIPJIPV4\Pasta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1"/>
    </sheetNames>
    <sheetDataSet>
      <sheetData sheetId="0">
        <row r="1">
          <cell r="A1" t="str">
            <v>Nome</v>
          </cell>
          <cell r="B1" t="str">
            <v>AVANÇADO</v>
          </cell>
        </row>
        <row r="2">
          <cell r="A2" t="str">
            <v>AMANDA CRISTINA DE OLIVEIRA</v>
          </cell>
          <cell r="B2" t="str">
            <v>Telecobrança</v>
          </cell>
        </row>
        <row r="3">
          <cell r="A3" t="str">
            <v>DIEGO ANDREATTA PEREIRA</v>
          </cell>
          <cell r="B3" t="str">
            <v>Telecobrança</v>
          </cell>
        </row>
        <row r="4">
          <cell r="A4" t="str">
            <v>PAULA ARIELI CARVALHO BORGES</v>
          </cell>
          <cell r="B4" t="str">
            <v>Telecobrança</v>
          </cell>
        </row>
        <row r="5">
          <cell r="A5" t="str">
            <v>DALINE VIEIRA DE MOURA LISBOA</v>
          </cell>
          <cell r="B5" t="str">
            <v>Telecobrança</v>
          </cell>
        </row>
        <row r="6">
          <cell r="A6" t="str">
            <v>WALBER JEFFERSON GONCALVES</v>
          </cell>
          <cell r="B6" t="str">
            <v>Telecobrança</v>
          </cell>
        </row>
        <row r="7">
          <cell r="A7" t="str">
            <v>ADRIANE FERREIRA DOS SANTOS</v>
          </cell>
          <cell r="B7" t="str">
            <v>Telecobrança</v>
          </cell>
        </row>
        <row r="8">
          <cell r="A8" t="str">
            <v>ANTONIO CARLOS ALVES PINHEIRO</v>
          </cell>
          <cell r="B8" t="str">
            <v>Telecobrança</v>
          </cell>
        </row>
        <row r="9">
          <cell r="A9" t="str">
            <v>NATASHA DE LIMA DO NASCIMENTO</v>
          </cell>
          <cell r="B9" t="str">
            <v>Telecobrança</v>
          </cell>
        </row>
        <row r="10">
          <cell r="A10" t="str">
            <v>STEFANY DA SILVA GOMES</v>
          </cell>
          <cell r="B10" t="str">
            <v>Telecobrança</v>
          </cell>
        </row>
        <row r="11">
          <cell r="A11" t="str">
            <v>ADOILSON LIMA DO NASCIMENTO</v>
          </cell>
          <cell r="B11" t="str">
            <v>ADOILSON</v>
          </cell>
        </row>
        <row r="12">
          <cell r="A12" t="str">
            <v>ANA CRISTINA DE JESUS MACEDO DE FREITAS</v>
          </cell>
          <cell r="B12" t="str">
            <v>ADOILSON</v>
          </cell>
        </row>
        <row r="13">
          <cell r="A13" t="str">
            <v>ANDRIELLE FERNANDES</v>
          </cell>
          <cell r="B13" t="str">
            <v>ADOILSON</v>
          </cell>
        </row>
        <row r="14">
          <cell r="A14" t="str">
            <v>DAIANE PRISCILA SAIVISCH</v>
          </cell>
          <cell r="B14" t="str">
            <v>ADOILSON</v>
          </cell>
        </row>
        <row r="15">
          <cell r="A15" t="str">
            <v>ANNA SARAH GOMES MACENA DA SILVA</v>
          </cell>
          <cell r="B15" t="str">
            <v>ADOILSON</v>
          </cell>
        </row>
        <row r="16">
          <cell r="A16" t="str">
            <v>KAROLINE RODRIGUES KURTEN</v>
          </cell>
          <cell r="B16" t="str">
            <v>ADOILSON</v>
          </cell>
        </row>
        <row r="17">
          <cell r="A17" t="str">
            <v>CELSO GEFFER</v>
          </cell>
          <cell r="B17" t="str">
            <v>ADOILSON</v>
          </cell>
        </row>
        <row r="18">
          <cell r="A18" t="str">
            <v>FRANCISCA GOMES COUTINHO</v>
          </cell>
          <cell r="B18" t="str">
            <v>ADOILSON</v>
          </cell>
        </row>
        <row r="19">
          <cell r="A19" t="str">
            <v>CRISTINA ALVES SCHNABEL</v>
          </cell>
          <cell r="B19" t="str">
            <v>ADOILSON</v>
          </cell>
        </row>
        <row r="20">
          <cell r="A20" t="str">
            <v>THIAGO WILLIAN BORGES OLIVEIRA</v>
          </cell>
          <cell r="B20" t="str">
            <v>ADOILSON</v>
          </cell>
        </row>
        <row r="21">
          <cell r="A21" t="str">
            <v>REBECA SOARES FERREIRA</v>
          </cell>
          <cell r="B21" t="str">
            <v>ADOILSON</v>
          </cell>
        </row>
        <row r="22">
          <cell r="A22" t="str">
            <v>ANGELYCA FRANÇA DE OLIVEIRA</v>
          </cell>
          <cell r="B22" t="str">
            <v>ANGELYCA</v>
          </cell>
        </row>
        <row r="23">
          <cell r="A23" t="str">
            <v>CIBELE CRISTINA DA SILVA COSTA</v>
          </cell>
          <cell r="B23" t="str">
            <v>ANGELYCA</v>
          </cell>
        </row>
        <row r="24">
          <cell r="A24" t="str">
            <v>TATIANE MARIA DALCIM ANTUNES</v>
          </cell>
          <cell r="B24" t="str">
            <v>ANGELYCA</v>
          </cell>
        </row>
        <row r="25">
          <cell r="A25" t="str">
            <v>ANA PAULA PIMENTEL SOARES MOCHNACZ</v>
          </cell>
          <cell r="B25" t="str">
            <v>ANGELYCA</v>
          </cell>
        </row>
        <row r="26">
          <cell r="A26" t="str">
            <v>ANA PAULA FERREIRA</v>
          </cell>
          <cell r="B26" t="str">
            <v>ANGELYCA</v>
          </cell>
        </row>
        <row r="27">
          <cell r="A27" t="str">
            <v>LETICIA MINOSSO CARVALHO</v>
          </cell>
          <cell r="B27" t="str">
            <v>ANGELYCA</v>
          </cell>
        </row>
        <row r="28">
          <cell r="A28" t="str">
            <v>GUSTAVO LAGO DO NASCIMENTO</v>
          </cell>
          <cell r="B28" t="str">
            <v>GUSTAVO</v>
          </cell>
        </row>
        <row r="29">
          <cell r="A29" t="str">
            <v>ANA PAULA DE SOUZA SEZRAIBER</v>
          </cell>
          <cell r="B29" t="str">
            <v>GUSTAVO</v>
          </cell>
        </row>
        <row r="30">
          <cell r="A30" t="str">
            <v>SUELEN SAMPAIO DA COSTA</v>
          </cell>
          <cell r="B30" t="str">
            <v>GUSTAVO</v>
          </cell>
        </row>
        <row r="31">
          <cell r="A31" t="str">
            <v>EVELYN GONCALVES DOS SANTOS FERREIRA</v>
          </cell>
          <cell r="B31" t="str">
            <v>GUSTAVO</v>
          </cell>
        </row>
        <row r="32">
          <cell r="A32" t="str">
            <v>DANIELE DA SILVEIRA GUTSTEIN MASSAROTTO</v>
          </cell>
          <cell r="B32" t="str">
            <v>GUSTAVO</v>
          </cell>
        </row>
        <row r="33">
          <cell r="A33" t="str">
            <v>PATRICK WALLAN RODRIGUES SUTIL</v>
          </cell>
          <cell r="B33" t="str">
            <v>GUSTAVO</v>
          </cell>
        </row>
        <row r="34">
          <cell r="A34" t="str">
            <v>LAERTES DE PAULA AFONSO JUNIOR</v>
          </cell>
          <cell r="B34" t="str">
            <v>GUSTAVO</v>
          </cell>
        </row>
        <row r="35">
          <cell r="A35" t="str">
            <v>DAYANE NAYARA RUFINO LIMA</v>
          </cell>
          <cell r="B35" t="str">
            <v>GUSTAVO</v>
          </cell>
        </row>
        <row r="36">
          <cell r="A36" t="str">
            <v>ANA GABRIELE DA SILVA COSTA</v>
          </cell>
          <cell r="B36" t="str">
            <v>GUSTAVO</v>
          </cell>
        </row>
        <row r="37">
          <cell r="A37" t="str">
            <v>GENILSON FELICIO</v>
          </cell>
          <cell r="B37" t="str">
            <v>GENILSON</v>
          </cell>
        </row>
        <row r="38">
          <cell r="A38" t="str">
            <v>VINICIOS HENRARD</v>
          </cell>
          <cell r="B38" t="str">
            <v>GENILSON</v>
          </cell>
        </row>
        <row r="39">
          <cell r="A39" t="str">
            <v>WILLIAN PEDROSO DO ROSARIO</v>
          </cell>
          <cell r="B39" t="str">
            <v>GENILSON</v>
          </cell>
        </row>
        <row r="40">
          <cell r="A40" t="str">
            <v>ALINE APARECIDA DE ANDRADE</v>
          </cell>
          <cell r="B40" t="str">
            <v>GENILSON</v>
          </cell>
        </row>
        <row r="41">
          <cell r="A41" t="str">
            <v>MICHELLE CRISTINA DE CAMARGO COUTINHO</v>
          </cell>
          <cell r="B41" t="str">
            <v>GENILSON</v>
          </cell>
        </row>
        <row r="42">
          <cell r="A42" t="str">
            <v>ALEXANDRE CUARTES DA SILVA</v>
          </cell>
          <cell r="B42" t="str">
            <v>GENILSON</v>
          </cell>
        </row>
        <row r="43">
          <cell r="A43" t="str">
            <v>THAINA LARISSA PEREIRA DA SILVA</v>
          </cell>
          <cell r="B43" t="str">
            <v>GENILSON</v>
          </cell>
        </row>
        <row r="44">
          <cell r="A44" t="str">
            <v>THACIANE APARECIDA OTKA</v>
          </cell>
          <cell r="B44" t="str">
            <v>GENILSON</v>
          </cell>
        </row>
        <row r="45">
          <cell r="A45" t="str">
            <v>ERICE RENATO NAVARROS OPIMI</v>
          </cell>
          <cell r="B45" t="str">
            <v>ERICE</v>
          </cell>
        </row>
        <row r="46">
          <cell r="A46" t="str">
            <v>THIAGO VICENTE GONZAGA PONTES</v>
          </cell>
          <cell r="B46" t="str">
            <v>ERICE</v>
          </cell>
        </row>
        <row r="47">
          <cell r="A47" t="str">
            <v>ALEXANDRE SILVEIRA</v>
          </cell>
          <cell r="B47" t="str">
            <v>ERICE</v>
          </cell>
        </row>
        <row r="48">
          <cell r="A48" t="str">
            <v>FABIANO TEMISKI MUNIZ</v>
          </cell>
          <cell r="B48" t="str">
            <v>ERICE</v>
          </cell>
        </row>
        <row r="49">
          <cell r="A49" t="str">
            <v>MANOEL FELIPE DA CRUZ</v>
          </cell>
          <cell r="B49" t="str">
            <v>ERICE</v>
          </cell>
        </row>
        <row r="50">
          <cell r="A50" t="str">
            <v>RAFAEL DOS SANTOS ALMEIDA OLIVEIRA</v>
          </cell>
          <cell r="B50" t="str">
            <v>ERICE</v>
          </cell>
        </row>
        <row r="51">
          <cell r="A51" t="str">
            <v>CARLA SUSAN SANTOS DE SOUZA</v>
          </cell>
          <cell r="B51" t="str">
            <v>ERICE</v>
          </cell>
        </row>
        <row r="52">
          <cell r="A52" t="str">
            <v>SABRINA RIBEIRO DIAS</v>
          </cell>
          <cell r="B52" t="str">
            <v>SABRINA</v>
          </cell>
        </row>
        <row r="53">
          <cell r="A53" t="str">
            <v>FRANCIELE DA CONCEICAO DOS SANTOS</v>
          </cell>
          <cell r="B53" t="str">
            <v>SABRINA</v>
          </cell>
        </row>
        <row r="54">
          <cell r="A54" t="str">
            <v>ANDRE LUIS BIANCHI</v>
          </cell>
          <cell r="B54" t="str">
            <v>SABRINA</v>
          </cell>
        </row>
        <row r="55">
          <cell r="A55" t="str">
            <v>BRUNA STEFFANIE LIMA GUIMARAES</v>
          </cell>
          <cell r="B55" t="str">
            <v>SABRINA</v>
          </cell>
        </row>
        <row r="56">
          <cell r="A56" t="str">
            <v>KRYSTHAL CRISTINE DA SILVA HEIN</v>
          </cell>
          <cell r="B56" t="str">
            <v>SABRINA</v>
          </cell>
        </row>
        <row r="57">
          <cell r="A57" t="str">
            <v>SANDRO OLIVEIRA CLITON BEZERRA</v>
          </cell>
          <cell r="B57" t="str">
            <v>SABRINA</v>
          </cell>
        </row>
        <row r="58">
          <cell r="A58" t="str">
            <v>LARISSA LIMA DA SILVA TEIXEIRA</v>
          </cell>
          <cell r="B58" t="str">
            <v>SABRINA</v>
          </cell>
        </row>
        <row r="59">
          <cell r="A59" t="str">
            <v>MARCOS LOURENCO DA FONSECA</v>
          </cell>
          <cell r="B59" t="str">
            <v>MARCOS</v>
          </cell>
        </row>
        <row r="60">
          <cell r="A60" t="str">
            <v>LUIZ HENRIQUE NEUMANN DE FREITAS</v>
          </cell>
          <cell r="B60" t="str">
            <v>MARCOS</v>
          </cell>
        </row>
        <row r="61">
          <cell r="A61" t="str">
            <v>ANA CLARA TERLECKI VITORINO DOS SANTOS</v>
          </cell>
          <cell r="B61" t="str">
            <v>MARCOS</v>
          </cell>
        </row>
        <row r="62">
          <cell r="A62" t="str">
            <v>LEONARDO ALMEIDA DE ANDRADE</v>
          </cell>
          <cell r="B62" t="str">
            <v>MARCOS</v>
          </cell>
        </row>
        <row r="63">
          <cell r="A63" t="str">
            <v>ROBSON OLIVEIRA SOUZA</v>
          </cell>
          <cell r="B63" t="str">
            <v>MARCOS</v>
          </cell>
        </row>
        <row r="64">
          <cell r="A64" t="str">
            <v>VINICIUS EDUARDO BARAUSE</v>
          </cell>
          <cell r="B64" t="str">
            <v>MARCOS</v>
          </cell>
        </row>
        <row r="65">
          <cell r="A65" t="str">
            <v>BARBARA YUMI LEMOS KIKUCHI RIBEIRO</v>
          </cell>
          <cell r="B65" t="str">
            <v>MARCOS</v>
          </cell>
        </row>
        <row r="66">
          <cell r="A66" t="str">
            <v>VICTOR HUGO ZANELLA DIAS</v>
          </cell>
          <cell r="B66" t="str">
            <v>MARCOS</v>
          </cell>
        </row>
        <row r="67">
          <cell r="A67" t="str">
            <v>MARINETE MARTIELHO SOARES</v>
          </cell>
          <cell r="B67" t="str">
            <v>MARCOS</v>
          </cell>
        </row>
        <row r="68">
          <cell r="A68" t="str">
            <v>CARLOS DANILO PACHECO</v>
          </cell>
          <cell r="B68" t="str">
            <v>MARCOS</v>
          </cell>
        </row>
        <row r="69">
          <cell r="A69" t="str">
            <v>LEANDRO CAVALCANTE LIMA</v>
          </cell>
          <cell r="B69" t="str">
            <v>MARCOS</v>
          </cell>
        </row>
        <row r="70">
          <cell r="A70" t="str">
            <v>AMANDA SCHULHAN DE SOUZA</v>
          </cell>
          <cell r="B70" t="str">
            <v>MARCOS</v>
          </cell>
        </row>
        <row r="71">
          <cell r="A71" t="str">
            <v>MARISTELA PRUCH PORTELLA</v>
          </cell>
          <cell r="B71" t="str">
            <v>MARCOS</v>
          </cell>
        </row>
        <row r="72">
          <cell r="A72" t="str">
            <v>DANIEL CORDEIRO FARIA</v>
          </cell>
          <cell r="B72" t="str">
            <v>MARCOS</v>
          </cell>
        </row>
        <row r="73">
          <cell r="A73" t="str">
            <v>THAIS ALCANTARA DE SOUZA FALK</v>
          </cell>
          <cell r="B73" t="str">
            <v>MARCOS</v>
          </cell>
        </row>
        <row r="74">
          <cell r="A74" t="str">
            <v>HICARO FELIPE DOS SANTOS DA LUZ</v>
          </cell>
          <cell r="B74" t="str">
            <v>MARCOS</v>
          </cell>
        </row>
        <row r="75">
          <cell r="A75" t="str">
            <v>ROGER ECKERMANN CARDOSO</v>
          </cell>
          <cell r="B75" t="str">
            <v>MARCOS</v>
          </cell>
        </row>
        <row r="76">
          <cell r="A76" t="str">
            <v>WILLIAN LANGER DE FRANCA</v>
          </cell>
          <cell r="B76" t="str">
            <v>MARCOS</v>
          </cell>
        </row>
        <row r="77">
          <cell r="A77" t="str">
            <v>ELAINE BUNIK</v>
          </cell>
          <cell r="B77" t="str">
            <v>MARCOS</v>
          </cell>
        </row>
        <row r="78">
          <cell r="A78" t="str">
            <v>ERICK RICARDO ILIANO PIECZARKA</v>
          </cell>
          <cell r="B78" t="str">
            <v>MARCOS</v>
          </cell>
        </row>
        <row r="79">
          <cell r="A79" t="str">
            <v>EMERSON ALVES</v>
          </cell>
          <cell r="B79" t="str">
            <v>MARCOS</v>
          </cell>
        </row>
        <row r="80">
          <cell r="A80" t="str">
            <v>ANA PAULA LAGE</v>
          </cell>
          <cell r="B80" t="str">
            <v>MARCOS</v>
          </cell>
        </row>
        <row r="81">
          <cell r="A81" t="str">
            <v>FRANCIELE DA CRUZ WALDEMIRO</v>
          </cell>
          <cell r="B81" t="str">
            <v>MARCOS</v>
          </cell>
        </row>
        <row r="82">
          <cell r="A82" t="str">
            <v>FRANCISCO PEDRO ALVES DE ARAÚJO</v>
          </cell>
          <cell r="B82" t="str">
            <v>MARCOS</v>
          </cell>
        </row>
        <row r="83">
          <cell r="A83" t="str">
            <v>SUELEN DE MELO</v>
          </cell>
          <cell r="B83" t="str">
            <v>MARCOS</v>
          </cell>
        </row>
        <row r="84">
          <cell r="A84" t="str">
            <v>JULIANA DALEFFE</v>
          </cell>
          <cell r="B84" t="str">
            <v>MARCOS</v>
          </cell>
        </row>
        <row r="85">
          <cell r="A85" t="str">
            <v>Acordo Online</v>
          </cell>
          <cell r="B85" t="str">
            <v>MARCOS</v>
          </cell>
        </row>
        <row r="86">
          <cell r="A86" t="str">
            <v>BRUNA STEFFANIE LIMA GUIMARAES</v>
          </cell>
          <cell r="B86" t="str">
            <v>MARCOS</v>
          </cell>
        </row>
        <row r="87">
          <cell r="A87" t="str">
            <v>DARCI SAVIO DIAS</v>
          </cell>
          <cell r="B87" t="str">
            <v>MARCOS</v>
          </cell>
        </row>
        <row r="88">
          <cell r="A88" t="str">
            <v>DANIELLE DOS SANTOS QUEIROZ DE OLIVEIRA</v>
          </cell>
          <cell r="B88" t="str">
            <v>MARCOS</v>
          </cell>
        </row>
        <row r="89">
          <cell r="A89" t="str">
            <v>MISLAINE FATIMA LIMA PEREIRA</v>
          </cell>
          <cell r="B89" t="str">
            <v>MARCOS</v>
          </cell>
        </row>
        <row r="90">
          <cell r="A90" t="str">
            <v>FABIANO DO ROSARIO BUENO</v>
          </cell>
          <cell r="B90" t="str">
            <v>MARCOS</v>
          </cell>
        </row>
        <row r="91">
          <cell r="A91" t="str">
            <v>ALAN JOHNNES DA SILVA</v>
          </cell>
          <cell r="B91" t="str">
            <v>MARCOS</v>
          </cell>
        </row>
        <row r="92">
          <cell r="A92" t="str">
            <v>WUELLYTON DE SOUZA OLIVEIRA</v>
          </cell>
          <cell r="B92" t="str">
            <v>MARCOS</v>
          </cell>
        </row>
        <row r="93">
          <cell r="A93" t="str">
            <v>THAINA TULASI DE TURIN E ALKMIM PEREIRA</v>
          </cell>
          <cell r="B93" t="str">
            <v>MARCOS</v>
          </cell>
        </row>
        <row r="94">
          <cell r="A94" t="str">
            <v>JAMALIE INAYA MARQUES</v>
          </cell>
          <cell r="B94" t="str">
            <v>MARCOS</v>
          </cell>
        </row>
        <row r="95">
          <cell r="A95" t="str">
            <v>PEDRO HENRIQUE BRISOLA CABRAL</v>
          </cell>
          <cell r="B95" t="str">
            <v>MARCOS</v>
          </cell>
        </row>
        <row r="96">
          <cell r="A96" t="str">
            <v>LESLIEL MOISES CARVALHO MONZANI</v>
          </cell>
          <cell r="B96" t="str">
            <v>MARCOS</v>
          </cell>
        </row>
        <row r="97">
          <cell r="A97" t="str">
            <v>ALEXANDRE PAIS MACOPPI</v>
          </cell>
          <cell r="B97" t="str">
            <v>MARCOS</v>
          </cell>
        </row>
        <row r="98">
          <cell r="A98" t="str">
            <v>GEORGE FERNANDO DE OLIVEIRA MARTINS</v>
          </cell>
          <cell r="B98" t="str">
            <v>MARCOS</v>
          </cell>
        </row>
        <row r="99">
          <cell r="A99" t="str">
            <v>GUILHERME GEOVANI VIEIRA DOS SANTOS</v>
          </cell>
          <cell r="B99" t="str">
            <v>MARCOS</v>
          </cell>
        </row>
        <row r="100">
          <cell r="A100" t="str">
            <v>ALEXANDRE HENRIQUE ASSUMPÇÃO</v>
          </cell>
          <cell r="B100" t="str">
            <v>MARCOS</v>
          </cell>
        </row>
        <row r="101">
          <cell r="A101" t="str">
            <v>ANA ELISA MARANHAO SANTOS</v>
          </cell>
          <cell r="B101" t="str">
            <v>MARCOS</v>
          </cell>
        </row>
        <row r="102">
          <cell r="A102" t="str">
            <v>JANINE WLODARSKI</v>
          </cell>
          <cell r="B102" t="str">
            <v>MARCOS</v>
          </cell>
        </row>
        <row r="103">
          <cell r="A103" t="str">
            <v>MATHEUS XAVIER DE ALMEIDA</v>
          </cell>
          <cell r="B103" t="str">
            <v>MARCOS</v>
          </cell>
        </row>
        <row r="104">
          <cell r="A104" t="str">
            <v>FABIO AUGUSTO DE OLIVEIRA</v>
          </cell>
          <cell r="B104" t="str">
            <v>MARCOS</v>
          </cell>
        </row>
        <row r="105">
          <cell r="A105" t="str">
            <v>ALEXIA JULIANA DA SILVA</v>
          </cell>
          <cell r="B105" t="str">
            <v>MARCOS</v>
          </cell>
        </row>
        <row r="106">
          <cell r="A106" t="str">
            <v>ROSANA SALETE DE SOUZA MACHADO</v>
          </cell>
          <cell r="B106" t="str">
            <v>MARCOS</v>
          </cell>
        </row>
        <row r="107">
          <cell r="A107" t="str">
            <v>ANA MARIA DA SILVA CARDOSO</v>
          </cell>
          <cell r="B107" t="str">
            <v>MARCOS</v>
          </cell>
        </row>
        <row r="108">
          <cell r="A108" t="str">
            <v>JAMAL DOS SANTOS</v>
          </cell>
          <cell r="B108" t="str">
            <v>MARCOS</v>
          </cell>
        </row>
        <row r="109">
          <cell r="A109" t="str">
            <v>JOSUÉ HOSSEL SEMKIW</v>
          </cell>
          <cell r="B109" t="str">
            <v>MARCOS</v>
          </cell>
        </row>
        <row r="110">
          <cell r="A110" t="str">
            <v>AMANDA JULY ANNE GAGNO</v>
          </cell>
          <cell r="B110" t="str">
            <v>MARCOS</v>
          </cell>
        </row>
        <row r="111">
          <cell r="A111" t="str">
            <v>LUCAS FARIA SIQUEIRA</v>
          </cell>
          <cell r="B111" t="str">
            <v>MARCOS</v>
          </cell>
        </row>
        <row r="112">
          <cell r="A112" t="str">
            <v>ALEXSANDER JUSCELINO DOS SANTOS</v>
          </cell>
          <cell r="B112" t="str">
            <v>MARCOS</v>
          </cell>
        </row>
        <row r="113">
          <cell r="A113" t="str">
            <v>ALISSON FELIPE DE SOUZA</v>
          </cell>
          <cell r="B113" t="str">
            <v>MARCOS</v>
          </cell>
        </row>
        <row r="114">
          <cell r="A114" t="str">
            <v>OSLEN RODRIGUES GARCIA</v>
          </cell>
          <cell r="B114" t="str">
            <v>MARCOS</v>
          </cell>
        </row>
        <row r="115">
          <cell r="A115" t="str">
            <v>LANNA PAULA RIBEIRO</v>
          </cell>
          <cell r="B115" t="str">
            <v>MARCOS</v>
          </cell>
        </row>
        <row r="116">
          <cell r="A116" t="str">
            <v>ANA CLAUDIA TOKARSKI DOS SANTOS</v>
          </cell>
          <cell r="B116" t="str">
            <v>MARCOS</v>
          </cell>
        </row>
        <row r="117">
          <cell r="A117" t="str">
            <v>ANA CRISTINA MARTINS</v>
          </cell>
          <cell r="B117" t="str">
            <v>MARCOS</v>
          </cell>
        </row>
        <row r="118">
          <cell r="A118" t="str">
            <v>EDUARDO MERELES KESKOSKI</v>
          </cell>
          <cell r="B118" t="str">
            <v>MARCOS</v>
          </cell>
        </row>
        <row r="119">
          <cell r="A119" t="str">
            <v>MARIA BENEDITA DOS SANTOS ABADE</v>
          </cell>
          <cell r="B119" t="str">
            <v>MARCOS</v>
          </cell>
        </row>
        <row r="120">
          <cell r="A120" t="str">
            <v>BRUNO DIAMANTI AVRELLA</v>
          </cell>
          <cell r="B120" t="str">
            <v>MARCOS</v>
          </cell>
        </row>
        <row r="121">
          <cell r="A121" t="str">
            <v>LILIAN CARMEN DA ROSA KARGER</v>
          </cell>
          <cell r="B121" t="str">
            <v>MARCOS</v>
          </cell>
        </row>
        <row r="122">
          <cell r="A122" t="str">
            <v>MARCIA SILMARA OLESKOWICZ</v>
          </cell>
          <cell r="B122" t="str">
            <v>MARCOS</v>
          </cell>
        </row>
        <row r="123">
          <cell r="A123" t="str">
            <v>MAICKO WILLIAN STRYCHALSKI MENEGUETE</v>
          </cell>
          <cell r="B123" t="str">
            <v>MARCOS</v>
          </cell>
        </row>
        <row r="124">
          <cell r="A124" t="str">
            <v>LUAN HENRIQUE RAMALHO</v>
          </cell>
          <cell r="B124" t="str">
            <v>MARCOS</v>
          </cell>
        </row>
        <row r="125">
          <cell r="A125" t="str">
            <v>LUIZ EDUARDO ZILLI</v>
          </cell>
          <cell r="B125" t="str">
            <v>MARCOS</v>
          </cell>
        </row>
        <row r="126">
          <cell r="A126" t="str">
            <v>BRUNO LEMOS SANTOS EVARISTO</v>
          </cell>
          <cell r="B126" t="str">
            <v>MARCOS</v>
          </cell>
        </row>
        <row r="127">
          <cell r="A127" t="str">
            <v>BRUNO PACIFICO</v>
          </cell>
          <cell r="B127" t="str">
            <v>MARCOS</v>
          </cell>
        </row>
        <row r="128">
          <cell r="A128" t="str">
            <v>FERNANDO ANTUNES MONTEIRO</v>
          </cell>
          <cell r="B128" t="str">
            <v>MARCOS</v>
          </cell>
        </row>
        <row r="129">
          <cell r="A129" t="str">
            <v>CARLOS ALEXANDRE MORONA</v>
          </cell>
          <cell r="B129" t="str">
            <v>MARCOS</v>
          </cell>
        </row>
        <row r="130">
          <cell r="A130" t="str">
            <v>TIAGO CALLEGARI DA SILVA</v>
          </cell>
          <cell r="B130" t="str">
            <v>MARCOS</v>
          </cell>
        </row>
        <row r="131">
          <cell r="A131" t="str">
            <v>KAUANE TCHEYSE PLOMBON DOS SANTOS</v>
          </cell>
          <cell r="B131" t="str">
            <v>MARCOS</v>
          </cell>
        </row>
        <row r="132">
          <cell r="A132" t="str">
            <v>LUCIANE ALVES DE PADUA</v>
          </cell>
          <cell r="B132" t="str">
            <v>MARCOS</v>
          </cell>
        </row>
        <row r="133">
          <cell r="A133" t="str">
            <v>FERNANDO DOROCZ</v>
          </cell>
          <cell r="B133" t="str">
            <v>MARCOS</v>
          </cell>
        </row>
        <row r="134">
          <cell r="A134" t="str">
            <v>LETICIA BEZERRO</v>
          </cell>
          <cell r="B134" t="str">
            <v>MARCOS</v>
          </cell>
        </row>
        <row r="135">
          <cell r="A135" t="str">
            <v>CAMILA BIANCO GREIN</v>
          </cell>
          <cell r="B135" t="str">
            <v>MARCOS</v>
          </cell>
        </row>
        <row r="136">
          <cell r="A136" t="str">
            <v>MONICK GIBIKOSKI</v>
          </cell>
          <cell r="B136" t="str">
            <v>MARCOS</v>
          </cell>
        </row>
        <row r="137">
          <cell r="A137" t="str">
            <v>CRISTHINE GONÇALVES DE PAULA</v>
          </cell>
          <cell r="B137" t="str">
            <v>MARCOS</v>
          </cell>
        </row>
        <row r="138">
          <cell r="A138" t="str">
            <v>Cristina Rodrigues da Silva</v>
          </cell>
          <cell r="B138" t="str">
            <v>MARCOS</v>
          </cell>
        </row>
        <row r="139">
          <cell r="A139" t="str">
            <v>DAIANE JAQUES DE PAULA</v>
          </cell>
          <cell r="B139" t="str">
            <v>MARCOS</v>
          </cell>
        </row>
        <row r="140">
          <cell r="A140" t="str">
            <v>DEBORA FRANCOA DOS SANTOS</v>
          </cell>
          <cell r="B140" t="str">
            <v>MARCOS</v>
          </cell>
        </row>
        <row r="141">
          <cell r="A141" t="str">
            <v>DOUGLAS DA SILVA SCHAFER</v>
          </cell>
          <cell r="B141" t="str">
            <v>MARCOS</v>
          </cell>
        </row>
        <row r="142">
          <cell r="A142" t="str">
            <v>ELIDIA ABREU SILVA</v>
          </cell>
          <cell r="B142" t="str">
            <v>MARCOS</v>
          </cell>
        </row>
        <row r="143">
          <cell r="A143" t="str">
            <v>EURO KLEBER RAMOS JUNIOR</v>
          </cell>
          <cell r="B143" t="str">
            <v>MARCOS</v>
          </cell>
        </row>
        <row r="144">
          <cell r="A144" t="str">
            <v>FABIANO BUENO DE ALVARENGA</v>
          </cell>
          <cell r="B144" t="str">
            <v>MARCOS</v>
          </cell>
        </row>
        <row r="145">
          <cell r="A145" t="str">
            <v>FABIO LUIS RODRIGUES DE LEMOS</v>
          </cell>
          <cell r="B145" t="str">
            <v>MARCOS</v>
          </cell>
        </row>
        <row r="146">
          <cell r="A146" t="str">
            <v>Fatury Protesto</v>
          </cell>
          <cell r="B146" t="str">
            <v>MARCOS</v>
          </cell>
        </row>
        <row r="147">
          <cell r="A147" t="str">
            <v>FELIPE ROSSINI CARVALHO</v>
          </cell>
          <cell r="B147" t="str">
            <v>MARCOS</v>
          </cell>
        </row>
        <row r="148">
          <cell r="A148" t="str">
            <v>GABRIEL FELIPE DO AMARAL SLEDZ</v>
          </cell>
          <cell r="B148" t="str">
            <v>MARCOS</v>
          </cell>
        </row>
        <row r="149">
          <cell r="A149" t="str">
            <v>EDUARDO PRATES MARTINS</v>
          </cell>
          <cell r="B149" t="str">
            <v>MARCOS</v>
          </cell>
        </row>
        <row r="150">
          <cell r="A150" t="str">
            <v>GABRIEL VICTOR SANTOS DE PAULA</v>
          </cell>
          <cell r="B150" t="str">
            <v>MARCOS</v>
          </cell>
        </row>
        <row r="151">
          <cell r="A151" t="str">
            <v>GABRIELE FERNANDES DE SOUZA</v>
          </cell>
          <cell r="B151" t="str">
            <v>MARCOS</v>
          </cell>
        </row>
        <row r="152">
          <cell r="A152" t="str">
            <v>GILDA APARECIDA DA SILVA</v>
          </cell>
          <cell r="B152" t="str">
            <v>MARCOS</v>
          </cell>
        </row>
        <row r="153">
          <cell r="A153" t="str">
            <v>HENRIQUE SCARPELLI IGLESIAS VIEIRA</v>
          </cell>
          <cell r="B153" t="str">
            <v>MARCOS</v>
          </cell>
        </row>
        <row r="154">
          <cell r="A154" t="str">
            <v>HERITON LUIS DA SILVA FRANCO</v>
          </cell>
          <cell r="B154" t="str">
            <v>MARCOS</v>
          </cell>
        </row>
        <row r="155">
          <cell r="A155" t="str">
            <v>KARYN CRISTINE GROSSMAN PACHECO</v>
          </cell>
          <cell r="B155" t="str">
            <v>MARCOS</v>
          </cell>
        </row>
        <row r="156">
          <cell r="A156" t="str">
            <v>KEILA DOS SANTOS GONCALVES</v>
          </cell>
          <cell r="B156" t="str">
            <v>MARCOS</v>
          </cell>
        </row>
        <row r="157">
          <cell r="A157" t="str">
            <v>LUANA CRISTINA NASCIMENTO DA SILVA</v>
          </cell>
          <cell r="B157" t="str">
            <v>MARCOS</v>
          </cell>
        </row>
        <row r="158">
          <cell r="A158" t="str">
            <v>MAICON JHONE DA ROCHA RODRIGUES</v>
          </cell>
          <cell r="B158" t="str">
            <v>MARCOS</v>
          </cell>
        </row>
        <row r="159">
          <cell r="A159" t="str">
            <v>MATHEUS VINICIUS ALVES LIMA</v>
          </cell>
          <cell r="B159" t="str">
            <v>MARCOS</v>
          </cell>
        </row>
        <row r="160">
          <cell r="A160" t="str">
            <v>NEIVA ALVES DA SILVA SANT ANA</v>
          </cell>
          <cell r="B160" t="str">
            <v>MARCOS</v>
          </cell>
        </row>
        <row r="161">
          <cell r="A161" t="str">
            <v>NEIVA ALVES DA SILVA SANTANA</v>
          </cell>
          <cell r="B161" t="str">
            <v>MARCOS</v>
          </cell>
        </row>
        <row r="162">
          <cell r="A162" t="str">
            <v>ROSANA BRASILE</v>
          </cell>
          <cell r="B162" t="str">
            <v>MARCOS</v>
          </cell>
        </row>
        <row r="163">
          <cell r="A163" t="str">
            <v>ROSANGELA SILVERIO ASSUNCAO DE FREITAS</v>
          </cell>
          <cell r="B163" t="str">
            <v>MARCOS</v>
          </cell>
        </row>
        <row r="164">
          <cell r="A164" t="str">
            <v>SEBASTIAO DE OLIVEIRA PEREIRA NETO</v>
          </cell>
          <cell r="B164" t="str">
            <v>MARCOS</v>
          </cell>
        </row>
        <row r="165">
          <cell r="A165" t="str">
            <v>SILVIA ROBERTA ECKSTEIN</v>
          </cell>
          <cell r="B165" t="str">
            <v>MARCOS</v>
          </cell>
        </row>
        <row r="166">
          <cell r="A166" t="str">
            <v>TACYANE LUCIANA MAFRA FONTANA</v>
          </cell>
          <cell r="B166" t="str">
            <v>MARCOS</v>
          </cell>
        </row>
        <row r="167">
          <cell r="A167" t="str">
            <v>LORAYNE PADILHA CAMPOS</v>
          </cell>
          <cell r="B167" t="str">
            <v>MARCOS</v>
          </cell>
        </row>
        <row r="168">
          <cell r="A168" t="str">
            <v>WANDER RAGEMINSKI</v>
          </cell>
          <cell r="B168" t="str">
            <v>MARCOS</v>
          </cell>
        </row>
        <row r="169">
          <cell r="A169" t="str">
            <v>MIRNA ANARA SIQUEIRA LIMA DA SILVA</v>
          </cell>
          <cell r="B169" t="str">
            <v>MARCOS</v>
          </cell>
        </row>
        <row r="170">
          <cell r="A170" t="str">
            <v>TIAGO LUIS CUSTODIO</v>
          </cell>
          <cell r="B170" t="str">
            <v>MARCOS</v>
          </cell>
        </row>
        <row r="171">
          <cell r="A171" t="str">
            <v>DIEMESON SOUZA DOS SANTOS</v>
          </cell>
          <cell r="B171" t="str">
            <v>MARCOS</v>
          </cell>
        </row>
        <row r="172">
          <cell r="A172" t="str">
            <v>PAULO ROBERTO MULLER FILHO</v>
          </cell>
          <cell r="B172" t="str">
            <v>MARCOS</v>
          </cell>
        </row>
        <row r="173">
          <cell r="A173" t="str">
            <v>WESLEY SILVA DE SOUZA OLIVEIRA</v>
          </cell>
          <cell r="B173" t="str">
            <v>MARCOS</v>
          </cell>
        </row>
        <row r="174">
          <cell r="A174" t="str">
            <v>AMANDA GLIR PEDROSO</v>
          </cell>
          <cell r="B174" t="str">
            <v>MARCOS</v>
          </cell>
        </row>
        <row r="175">
          <cell r="A175" t="str">
            <v>TERESINHA MACHADO DA ROSA</v>
          </cell>
          <cell r="B175" t="str">
            <v>MARCOS</v>
          </cell>
        </row>
        <row r="176">
          <cell r="A176" t="str">
            <v>LARISSA GABRIELLY KAGUIMOTO SIGNORI</v>
          </cell>
          <cell r="B176" t="str">
            <v>MARCOS</v>
          </cell>
        </row>
        <row r="177">
          <cell r="A177" t="str">
            <v>TALITA LAYANE CHAVES PEREIRA</v>
          </cell>
          <cell r="B177" t="str">
            <v>MARCOS</v>
          </cell>
        </row>
        <row r="178">
          <cell r="A178" t="str">
            <v>SILVIA ELENA TEIXEIRA ROCHA</v>
          </cell>
          <cell r="B178" t="str">
            <v>MARCOS</v>
          </cell>
        </row>
        <row r="179">
          <cell r="A179" t="str">
            <v>VITOR HUGO PEREIRA DOS SANTOS</v>
          </cell>
          <cell r="B179" t="str">
            <v>MARCOS</v>
          </cell>
        </row>
        <row r="180">
          <cell r="A180" t="str">
            <v>LILIAN PREIS</v>
          </cell>
          <cell r="B180" t="str">
            <v>MARCOS</v>
          </cell>
        </row>
        <row r="181">
          <cell r="A181" t="str">
            <v>CRISTHIELY DA CUNHA</v>
          </cell>
          <cell r="B181" t="str">
            <v>MARCOS</v>
          </cell>
        </row>
        <row r="182">
          <cell r="A182" t="str">
            <v>DOUGLAS LOPES</v>
          </cell>
          <cell r="B182" t="str">
            <v>MARCOS</v>
          </cell>
        </row>
        <row r="183">
          <cell r="A183" t="str">
            <v>ROSILENE RODRIGUES MATOS GOUVEIA</v>
          </cell>
          <cell r="B183" t="str">
            <v>MARCOS</v>
          </cell>
        </row>
        <row r="184">
          <cell r="A184" t="str">
            <v>LEANDRO RAMOS</v>
          </cell>
          <cell r="B184" t="str">
            <v>MARCOS</v>
          </cell>
        </row>
        <row r="185">
          <cell r="A185" t="str">
            <v>BRUNA APARECIDA VIEIRA</v>
          </cell>
          <cell r="B185" t="str">
            <v>MARCOS</v>
          </cell>
        </row>
        <row r="186">
          <cell r="A186" t="str">
            <v>DOMINIQUE AKEMY NOGUCHI</v>
          </cell>
          <cell r="B186" t="str">
            <v>MARCOS</v>
          </cell>
        </row>
        <row r="187">
          <cell r="A187" t="str">
            <v>THAISSA GONCALVES DE OLIVEIRA DO NASCIMENTO</v>
          </cell>
          <cell r="B187" t="str">
            <v>MARCOS</v>
          </cell>
        </row>
        <row r="188">
          <cell r="A188" t="str">
            <v>ANA PAULA MOREIRA MUNHOZ LIMA</v>
          </cell>
          <cell r="B188" t="str">
            <v>MARCOS</v>
          </cell>
        </row>
        <row r="189">
          <cell r="A189" t="str">
            <v>GABRIELY PEDROSO FERNANDES</v>
          </cell>
          <cell r="B189" t="str">
            <v>MARCOS</v>
          </cell>
        </row>
        <row r="190">
          <cell r="A190" t="str">
            <v>AMANDA NASCIMENTO DOS SANTOS</v>
          </cell>
          <cell r="B190" t="str">
            <v>MARCOS</v>
          </cell>
        </row>
        <row r="191">
          <cell r="A191" t="str">
            <v>JULIANA APARECIDA DA COSTA LEAL</v>
          </cell>
          <cell r="B191" t="str">
            <v>MARCOS</v>
          </cell>
        </row>
        <row r="192">
          <cell r="A192" t="str">
            <v>GABRIEL GODOY DE MORAIS</v>
          </cell>
          <cell r="B192" t="str">
            <v>MARCOS</v>
          </cell>
        </row>
        <row r="193">
          <cell r="A193" t="str">
            <v>ALAND MACEDO VICENTE</v>
          </cell>
          <cell r="B193" t="str">
            <v>MARCOS</v>
          </cell>
        </row>
        <row r="194">
          <cell r="A194" t="str">
            <v>JENNIFER LUANA DUARTE SOARES</v>
          </cell>
          <cell r="B194" t="str">
            <v>MARCOS</v>
          </cell>
        </row>
        <row r="195">
          <cell r="A195" t="str">
            <v>JULIANO CARLOS DE LIMA FERREIRA</v>
          </cell>
          <cell r="B195" t="str">
            <v>MARCOS</v>
          </cell>
        </row>
        <row r="196">
          <cell r="A196" t="str">
            <v>MIRIHAN RAQUEL DE OLIVEIRA PONTES</v>
          </cell>
          <cell r="B196" t="str">
            <v>MARCOS</v>
          </cell>
        </row>
        <row r="197">
          <cell r="A197" t="str">
            <v>ZINEIDE DO ROCIO DE CARVALHO</v>
          </cell>
          <cell r="B197" t="str">
            <v>MARCOS</v>
          </cell>
        </row>
        <row r="198">
          <cell r="A198" t="str">
            <v>ELIN CRISTINA DA SILVA</v>
          </cell>
          <cell r="B198" t="str">
            <v>MARCOS</v>
          </cell>
        </row>
        <row r="199">
          <cell r="A199" t="str">
            <v>VANESSA SOUZA DE FARIA</v>
          </cell>
          <cell r="B199" t="str">
            <v>MARCOS</v>
          </cell>
        </row>
        <row r="200">
          <cell r="A200" t="str">
            <v>MAGNO ALEFFY MELO DA SILVA</v>
          </cell>
          <cell r="B200" t="str">
            <v>MARCOS</v>
          </cell>
        </row>
        <row r="201">
          <cell r="A201" t="str">
            <v>BEATRIZ APARECIDA TELES TOMASINI</v>
          </cell>
          <cell r="B201" t="str">
            <v>MARCOS</v>
          </cell>
        </row>
        <row r="202">
          <cell r="A202" t="str">
            <v>MARCELO AUGUSTO MERCHIORI</v>
          </cell>
          <cell r="B202" t="str">
            <v>MARCOS</v>
          </cell>
        </row>
        <row r="203">
          <cell r="A203" t="str">
            <v>JANAINA PATRICIA DE RAMOS DINIZ</v>
          </cell>
          <cell r="B203" t="str">
            <v>MARCOS</v>
          </cell>
        </row>
        <row r="204">
          <cell r="A204" t="str">
            <v>JULIO CESAR FREITAS</v>
          </cell>
          <cell r="B204" t="str">
            <v>MARCOS</v>
          </cell>
        </row>
        <row r="205">
          <cell r="A205" t="str">
            <v>EMERSON FRANCISCO SILVEIRA</v>
          </cell>
          <cell r="B205" t="str">
            <v>MARCOS</v>
          </cell>
        </row>
        <row r="206">
          <cell r="A206" t="str">
            <v>JUCELIO JUNIOR GAUNA VELOSO</v>
          </cell>
          <cell r="B206" t="str">
            <v>MARCOS</v>
          </cell>
        </row>
        <row r="207">
          <cell r="A207" t="str">
            <v>GISLAINE CALEGARINI</v>
          </cell>
          <cell r="B207" t="str">
            <v>MARCOS</v>
          </cell>
        </row>
        <row r="208">
          <cell r="A208" t="str">
            <v>THIAGO VINICIUS TONIOLO GUMZ</v>
          </cell>
          <cell r="B208" t="str">
            <v>MARCOS</v>
          </cell>
        </row>
        <row r="209">
          <cell r="A209" t="str">
            <v>JERLLAN WEBERT NUNES DUARTE COSTA</v>
          </cell>
          <cell r="B209" t="str">
            <v>MARCOS</v>
          </cell>
        </row>
        <row r="210">
          <cell r="A210" t="str">
            <v>BRUNA RIBEIRO DE LUCA</v>
          </cell>
          <cell r="B210" t="str">
            <v>MARCOS</v>
          </cell>
        </row>
        <row r="211">
          <cell r="A211" t="str">
            <v>EDUARDA PAULINE IVO DOS SANTOS</v>
          </cell>
          <cell r="B211" t="str">
            <v>MARCOS</v>
          </cell>
        </row>
        <row r="212">
          <cell r="A212" t="str">
            <v>PALOMA SOARES RAMOS MOREIRA DE ALMEIDA</v>
          </cell>
          <cell r="B212" t="str">
            <v>MARCOS</v>
          </cell>
        </row>
        <row r="213">
          <cell r="A213" t="str">
            <v>STEPHANY BRAND FERRARI</v>
          </cell>
          <cell r="B213" t="str">
            <v>MARCOS</v>
          </cell>
        </row>
        <row r="214">
          <cell r="A214" t="str">
            <v>Viviane da Silva</v>
          </cell>
          <cell r="B214" t="str">
            <v>MARCOS</v>
          </cell>
        </row>
        <row r="215">
          <cell r="A215" t="str">
            <v>DOUGLAS MIRANDA DE OLIVEIRA</v>
          </cell>
          <cell r="B215" t="str">
            <v>MARCOS</v>
          </cell>
        </row>
        <row r="216">
          <cell r="A216" t="str">
            <v>JULIANA TEREZINHA DE OLIVEIRA</v>
          </cell>
          <cell r="B216" t="str">
            <v>MARCOS</v>
          </cell>
        </row>
        <row r="217">
          <cell r="A217" t="str">
            <v>BRUNA CAMILA SEDLMAIER</v>
          </cell>
          <cell r="B217" t="str">
            <v>MARCOS</v>
          </cell>
        </row>
        <row r="218">
          <cell r="A218" t="str">
            <v>FERNANDO MARCIO FERREIRA JUNIOR</v>
          </cell>
          <cell r="B218" t="str">
            <v>MARCOS</v>
          </cell>
        </row>
        <row r="219">
          <cell r="A219" t="str">
            <v>MARINES FERREIRA CARNEIRO</v>
          </cell>
          <cell r="B219" t="str">
            <v>MARCOS</v>
          </cell>
        </row>
        <row r="220">
          <cell r="A220" t="str">
            <v>MIRIA RAMOS DOS SANTOS</v>
          </cell>
          <cell r="B220" t="str">
            <v>MARCOS</v>
          </cell>
        </row>
        <row r="221">
          <cell r="A221" t="str">
            <v>IGOR ROCHA DE SOUSA</v>
          </cell>
          <cell r="B221" t="str">
            <v>MARCOS</v>
          </cell>
        </row>
        <row r="222">
          <cell r="A222" t="str">
            <v>KARLA LUIZA DE MACEDO</v>
          </cell>
          <cell r="B222" t="str">
            <v>MARCOS</v>
          </cell>
        </row>
        <row r="223">
          <cell r="A223" t="str">
            <v>ERICK SANDER TAVARES SEZEPULA</v>
          </cell>
          <cell r="B223" t="str">
            <v>MARCOS</v>
          </cell>
        </row>
        <row r="224">
          <cell r="A224" t="str">
            <v>HELEN CAROLINE SOARES DE LIMA GUTSTEIN</v>
          </cell>
          <cell r="B224" t="str">
            <v>MARCOS</v>
          </cell>
        </row>
        <row r="225">
          <cell r="A225" t="str">
            <v>RUAN CARLOS SANTOS DO NASCIMENTO</v>
          </cell>
          <cell r="B225" t="str">
            <v>MARCOS</v>
          </cell>
        </row>
        <row r="226">
          <cell r="A226" t="str">
            <v>RENATA DIAS DE SOUZA</v>
          </cell>
          <cell r="B226" t="str">
            <v>MARCOS</v>
          </cell>
        </row>
        <row r="227">
          <cell r="A227" t="str">
            <v>FABIO MACIEL</v>
          </cell>
          <cell r="B227" t="str">
            <v>MARCOS</v>
          </cell>
        </row>
        <row r="228">
          <cell r="A228" t="str">
            <v>ERITO NOGUEIRA ELIAS</v>
          </cell>
          <cell r="B228" t="str">
            <v>MARCOS</v>
          </cell>
        </row>
        <row r="229">
          <cell r="A229" t="str">
            <v>KEDMA PRISCILA PEREIRA SOARES</v>
          </cell>
          <cell r="B229" t="str">
            <v>MARCOS</v>
          </cell>
        </row>
        <row r="230">
          <cell r="A230" t="str">
            <v>EDISON MARCIANO DA SILVA</v>
          </cell>
          <cell r="B230" t="str">
            <v>MARCOS</v>
          </cell>
        </row>
        <row r="231">
          <cell r="A231" t="str">
            <v>LEILA ALVES DO ROSARIO</v>
          </cell>
          <cell r="B231" t="str">
            <v>MARCOS</v>
          </cell>
        </row>
        <row r="232">
          <cell r="A232" t="str">
            <v>MICHELE BESTER DE SOUZA</v>
          </cell>
          <cell r="B232" t="str">
            <v>MARCOS</v>
          </cell>
        </row>
        <row r="233">
          <cell r="A233" t="str">
            <v>JHENIFFER DE LIMA VICENTE DE OLIVEIRA CAVALCANTE</v>
          </cell>
          <cell r="B233" t="str">
            <v>MARCOS</v>
          </cell>
        </row>
        <row r="234">
          <cell r="A234" t="str">
            <v>MARILIS TRISTAO PIETRANGELO</v>
          </cell>
          <cell r="B234" t="str">
            <v>MARCOS</v>
          </cell>
        </row>
        <row r="235">
          <cell r="A235" t="str">
            <v>LUIZ HENRIQUE DE SOUZA</v>
          </cell>
          <cell r="B235" t="str">
            <v>MARCOS</v>
          </cell>
        </row>
        <row r="236">
          <cell r="A236" t="str">
            <v>EURRANA RAMOS ALVES</v>
          </cell>
          <cell r="B236" t="str">
            <v>MARCOS</v>
          </cell>
        </row>
        <row r="237">
          <cell r="A237" t="str">
            <v>CARMELINA MARCELLI DA CRUZ</v>
          </cell>
          <cell r="B237" t="str">
            <v>MARCOS</v>
          </cell>
        </row>
        <row r="238">
          <cell r="A238" t="str">
            <v>VINICIUS CARVALHO CHAGAS</v>
          </cell>
          <cell r="B238" t="str">
            <v>MARCOS</v>
          </cell>
        </row>
        <row r="239">
          <cell r="A239" t="str">
            <v>ANA KELLI DE OLIVEIRA DA SILVA</v>
          </cell>
          <cell r="B239" t="str">
            <v>MARCOS</v>
          </cell>
        </row>
        <row r="240">
          <cell r="A240" t="str">
            <v>DIEGO ALAYON CAMARA</v>
          </cell>
          <cell r="B240" t="str">
            <v>MARCOS</v>
          </cell>
        </row>
        <row r="241">
          <cell r="A241" t="str">
            <v xml:space="preserve">GABRIEL VIEIRA DE SALES </v>
          </cell>
          <cell r="B241" t="str">
            <v>MARCOS</v>
          </cell>
        </row>
        <row r="242">
          <cell r="A242" t="str">
            <v>ANTONIO REINALDO DA SILVA</v>
          </cell>
          <cell r="B242" t="str">
            <v>MARCOS</v>
          </cell>
        </row>
        <row r="243">
          <cell r="A243" t="str">
            <v>CAROLINE AUGUSTA VIEIRA DE SOUZA</v>
          </cell>
          <cell r="B243" t="str">
            <v>MARCOS</v>
          </cell>
        </row>
        <row r="244">
          <cell r="A244" t="str">
            <v>ANDRIA DANIELLE DE LIMA</v>
          </cell>
          <cell r="B244" t="str">
            <v>MARCOS</v>
          </cell>
        </row>
        <row r="245">
          <cell r="A245" t="str">
            <v>MARLLON FANTE BOITA</v>
          </cell>
          <cell r="B245" t="str">
            <v>MARCOS</v>
          </cell>
        </row>
        <row r="246">
          <cell r="A246" t="str">
            <v>PEDRO PAULO CARDOSO MENDES</v>
          </cell>
          <cell r="B246" t="str">
            <v>MARCOS</v>
          </cell>
        </row>
        <row r="247">
          <cell r="A247" t="str">
            <v>ALLINE CAMARGO DA SILVA</v>
          </cell>
          <cell r="B247" t="str">
            <v>MARCOS</v>
          </cell>
        </row>
        <row r="248">
          <cell r="A248" t="str">
            <v>ISRAEL RIBEIRO GIBIM</v>
          </cell>
          <cell r="B248" t="str">
            <v>MARCOS</v>
          </cell>
        </row>
        <row r="249">
          <cell r="A249" t="str">
            <v>ELISSANDRO ANTONIO SIKORA</v>
          </cell>
          <cell r="B249" t="str">
            <v>MARCOS</v>
          </cell>
        </row>
        <row r="250">
          <cell r="A250" t="str">
            <v>NATAN FELIPE DOS SANTOS RIBAS</v>
          </cell>
          <cell r="B250" t="str">
            <v>MARCOS</v>
          </cell>
        </row>
        <row r="251">
          <cell r="A251" t="str">
            <v>LUANA GABRIELE MARTY</v>
          </cell>
          <cell r="B251" t="str">
            <v>MARCOS</v>
          </cell>
        </row>
        <row r="252">
          <cell r="A252" t="str">
            <v>WILSON APARECIDO SILVERIO CORREA JUNIOR</v>
          </cell>
          <cell r="B252" t="str">
            <v>MARCOS</v>
          </cell>
        </row>
        <row r="253">
          <cell r="A253" t="str">
            <v>ROZILENE LIMA BRUSKI DIAS</v>
          </cell>
          <cell r="B253" t="str">
            <v>MARCOS</v>
          </cell>
        </row>
        <row r="254">
          <cell r="A254" t="str">
            <v>THAYNARA CRISTINE DE PAULA CORDEIRO</v>
          </cell>
          <cell r="B254" t="str">
            <v>MARCOS</v>
          </cell>
        </row>
        <row r="255">
          <cell r="A255" t="str">
            <v>CRISTIANE MOREIRA ALVES</v>
          </cell>
          <cell r="B255" t="str">
            <v>MARCOS</v>
          </cell>
        </row>
        <row r="256">
          <cell r="A256" t="str">
            <v>WILLIAN DE LIMA GOUVEIA</v>
          </cell>
          <cell r="B256" t="str">
            <v>MARCOS</v>
          </cell>
        </row>
        <row r="257">
          <cell r="A257" t="str">
            <v>ERICSON CRISTIANO ZANLORENS</v>
          </cell>
          <cell r="B257" t="str">
            <v>MARCOS</v>
          </cell>
        </row>
        <row r="258">
          <cell r="A258" t="str">
            <v>ANDERSON DE LIMA DA SILVA</v>
          </cell>
          <cell r="B258" t="str">
            <v>MARCOS</v>
          </cell>
        </row>
        <row r="259">
          <cell r="A259" t="str">
            <v>ARIANE DIAS DA SILVA</v>
          </cell>
          <cell r="B259" t="str">
            <v>MARCOS</v>
          </cell>
        </row>
        <row r="260">
          <cell r="A260" t="str">
            <v>MAYRA TONCZAK DE AZEVEDO</v>
          </cell>
          <cell r="B260" t="str">
            <v>MARCOS</v>
          </cell>
        </row>
        <row r="261">
          <cell r="A261" t="str">
            <v>LUANA LARISSA SILVA MOREIRA</v>
          </cell>
          <cell r="B261" t="str">
            <v>MARCOS</v>
          </cell>
        </row>
        <row r="262">
          <cell r="A262" t="str">
            <v>CARLOS EDUARDO DO COUTO</v>
          </cell>
          <cell r="B262" t="str">
            <v>MARCOS</v>
          </cell>
        </row>
        <row r="263">
          <cell r="A263" t="str">
            <v>MAYARA DE OLIVIERA PERES</v>
          </cell>
          <cell r="B263" t="str">
            <v>MARCOS</v>
          </cell>
        </row>
        <row r="264">
          <cell r="A264" t="str">
            <v>VANIRICE CORDEIRO BRITES</v>
          </cell>
          <cell r="B264" t="str">
            <v>MARCOS</v>
          </cell>
        </row>
        <row r="265">
          <cell r="A265" t="str">
            <v>LUCIANO HENRIQUE DA SILVA</v>
          </cell>
          <cell r="B265" t="str">
            <v>MARCOS</v>
          </cell>
        </row>
        <row r="266">
          <cell r="A266" t="str">
            <v>GIOVANNA CORREIA PAZIN</v>
          </cell>
          <cell r="B266" t="str">
            <v>MARCOS</v>
          </cell>
        </row>
        <row r="267">
          <cell r="A267" t="str">
            <v xml:space="preserve">DENIELS ALEXANDER SCHMIDT ASEVEDO </v>
          </cell>
          <cell r="B267" t="str">
            <v>MARCOS</v>
          </cell>
        </row>
        <row r="268">
          <cell r="A268" t="str">
            <v>ALESSANDRA SANTOS E SANTOS</v>
          </cell>
          <cell r="B268" t="str">
            <v>MARCOS</v>
          </cell>
        </row>
        <row r="269">
          <cell r="A269" t="str">
            <v xml:space="preserve">DEOCLÉSIA BRASIL </v>
          </cell>
          <cell r="B269" t="str">
            <v>MARCOS</v>
          </cell>
        </row>
        <row r="270">
          <cell r="A270" t="str">
            <v>DANIELLE COSTA ALVES DA SILVA</v>
          </cell>
          <cell r="B270" t="str">
            <v>MARCOS</v>
          </cell>
        </row>
        <row r="271">
          <cell r="A271" t="str">
            <v>JACKSON TABORDA BUENO</v>
          </cell>
          <cell r="B271" t="str">
            <v>MARCOS</v>
          </cell>
        </row>
        <row r="272">
          <cell r="A272" t="str">
            <v>FRANCIELE DIAS LOURENCO DOS SANTOS</v>
          </cell>
          <cell r="B272" t="str">
            <v>MARCOS</v>
          </cell>
        </row>
        <row r="273">
          <cell r="A273" t="str">
            <v>ROBERTA FERREIRA COLAÇO BELO</v>
          </cell>
          <cell r="B273" t="str">
            <v>MARCOS</v>
          </cell>
        </row>
        <row r="274">
          <cell r="A274" t="str">
            <v>FLAVIUS CARLOS SANTOS DE SOUZA</v>
          </cell>
          <cell r="B274" t="str">
            <v>MARCOS</v>
          </cell>
        </row>
        <row r="275">
          <cell r="A275" t="str">
            <v>LUIZ FERNANDO LABHARDT</v>
          </cell>
          <cell r="B275" t="str">
            <v>MARCOS</v>
          </cell>
        </row>
        <row r="276">
          <cell r="A276" t="str">
            <v>LUCIANE DE CASTRO BRANDELIONE</v>
          </cell>
          <cell r="B276" t="str">
            <v>MARCOS</v>
          </cell>
        </row>
        <row r="277">
          <cell r="A277" t="str">
            <v>RENE DETIUK GOMES</v>
          </cell>
          <cell r="B277" t="str">
            <v>MARCOS</v>
          </cell>
        </row>
        <row r="278">
          <cell r="A278" t="str">
            <v>MIQUEIAS SILVA DE SOUZA</v>
          </cell>
          <cell r="B278" t="str">
            <v>MARCOS</v>
          </cell>
        </row>
        <row r="279">
          <cell r="A279" t="str">
            <v>FABRICIO FRANCISCO ANTUNES PEREIRA</v>
          </cell>
          <cell r="B279" t="str">
            <v>MARCOS</v>
          </cell>
        </row>
        <row r="280">
          <cell r="A280" t="str">
            <v>ANDREA DE CAMPOS ARAUJO</v>
          </cell>
          <cell r="B280" t="str">
            <v>MARCOS</v>
          </cell>
        </row>
        <row r="281">
          <cell r="A281" t="str">
            <v>LUANA BOLZE DRANKA</v>
          </cell>
          <cell r="B281" t="str">
            <v>MARCOS</v>
          </cell>
        </row>
        <row r="282">
          <cell r="A282" t="str">
            <v>ALINE GABRIELE VASCONCELLOS</v>
          </cell>
          <cell r="B282" t="str">
            <v>MARCOS</v>
          </cell>
        </row>
        <row r="283">
          <cell r="A283" t="str">
            <v>ANDERSON ROCHA DA SILVA</v>
          </cell>
          <cell r="B283" t="str">
            <v>MARCOS</v>
          </cell>
        </row>
        <row r="284">
          <cell r="A284" t="str">
            <v>MARCOS MATHEUS DE MUZIO</v>
          </cell>
          <cell r="B284" t="str">
            <v>MARCOS</v>
          </cell>
        </row>
        <row r="285">
          <cell r="A285" t="str">
            <v>ADEJAN COSTA</v>
          </cell>
          <cell r="B285" t="str">
            <v>MARCOS</v>
          </cell>
        </row>
        <row r="286">
          <cell r="A286" t="str">
            <v>MATHEUS DOS SANTOS MARQUES UEBELHART</v>
          </cell>
          <cell r="B286" t="str">
            <v>MARCOS</v>
          </cell>
        </row>
        <row r="287">
          <cell r="A287" t="str">
            <v>LOHAN GUILHERME DE CAMPOS</v>
          </cell>
          <cell r="B287" t="str">
            <v>MARCOS</v>
          </cell>
        </row>
        <row r="288">
          <cell r="A288" t="str">
            <v>ANE CAROLINE SOUZA</v>
          </cell>
          <cell r="B288" t="str">
            <v>MARCOS</v>
          </cell>
        </row>
        <row r="289">
          <cell r="A289" t="str">
            <v>ECHILEY SILVA</v>
          </cell>
          <cell r="B289" t="str">
            <v>MARCOS</v>
          </cell>
        </row>
        <row r="290">
          <cell r="A290" t="str">
            <v>Ana Cristina de Jesus</v>
          </cell>
          <cell r="B290" t="str">
            <v>MARCOS</v>
          </cell>
        </row>
        <row r="291">
          <cell r="A291" t="str">
            <v>TALITA CHAVES GARCIA</v>
          </cell>
          <cell r="B291" t="str">
            <v>MARCOS</v>
          </cell>
        </row>
        <row r="292">
          <cell r="A292" t="str">
            <v>LUCAS DE MOURA MESQUITA</v>
          </cell>
          <cell r="B292" t="str">
            <v>MARCOS</v>
          </cell>
        </row>
        <row r="293">
          <cell r="A293" t="str">
            <v>ARTHUR VILHENA E SILVA</v>
          </cell>
          <cell r="B293" t="str">
            <v>MARCOS</v>
          </cell>
        </row>
        <row r="294">
          <cell r="A294" t="str">
            <v>ARABELA ALVES DA SILVA</v>
          </cell>
          <cell r="B294" t="str">
            <v>MARCOS</v>
          </cell>
        </row>
        <row r="295">
          <cell r="A295" t="str">
            <v>YAN LEONARDI DE LIMA PREIS</v>
          </cell>
          <cell r="B295" t="str">
            <v>MARCOS</v>
          </cell>
        </row>
        <row r="296">
          <cell r="A296" t="str">
            <v>MELISSA NATALI PERES</v>
          </cell>
          <cell r="B296" t="str">
            <v>MARCOS</v>
          </cell>
        </row>
        <row r="297">
          <cell r="A297" t="str">
            <v>ALINE OLIVEIRA RAMOS</v>
          </cell>
          <cell r="B297" t="str">
            <v>MARCOS</v>
          </cell>
        </row>
        <row r="298">
          <cell r="A298" t="str">
            <v>DOUGLAS CORREA ROSS</v>
          </cell>
          <cell r="B298" t="str">
            <v>MARCOS</v>
          </cell>
        </row>
        <row r="299">
          <cell r="A299" t="str">
            <v>CARLA ANTONIA JORGE SOBIESKI</v>
          </cell>
          <cell r="B299" t="str">
            <v>MARCOS</v>
          </cell>
        </row>
        <row r="300">
          <cell r="A300" t="str">
            <v>MATHEUS SARAIVA RIBEIRO</v>
          </cell>
          <cell r="B300" t="str">
            <v>MARCOS</v>
          </cell>
        </row>
        <row r="301">
          <cell r="A301" t="str">
            <v>KATIA REGINA DE LIMA LOPES</v>
          </cell>
          <cell r="B301" t="str">
            <v>MARCOS</v>
          </cell>
        </row>
        <row r="302">
          <cell r="A302" t="str">
            <v>TIAGO CLEITON DOS SANTOS</v>
          </cell>
          <cell r="B302" t="str">
            <v>MARCOS</v>
          </cell>
        </row>
        <row r="303">
          <cell r="A303" t="str">
            <v>EDUARDO FELIPE DA SILVA LOURENCO</v>
          </cell>
          <cell r="B303" t="str">
            <v>MARCOS</v>
          </cell>
        </row>
        <row r="304">
          <cell r="A304" t="str">
            <v>ANGELA LAYNS KALLUF DA SILVA</v>
          </cell>
          <cell r="B304" t="str">
            <v>MARCOS</v>
          </cell>
        </row>
        <row r="305">
          <cell r="A305" t="str">
            <v>KATIA LUCIA SIQUEIRA</v>
          </cell>
          <cell r="B305" t="str">
            <v>MARCOS</v>
          </cell>
        </row>
        <row r="306">
          <cell r="A306" t="str">
            <v>GABRIELY DE SOUZA BARBOSA</v>
          </cell>
          <cell r="B306" t="str">
            <v>MARCOS</v>
          </cell>
        </row>
        <row r="307">
          <cell r="A307" t="str">
            <v>AMANDA GABRIELLE ALMEIDA DE CAMARGO</v>
          </cell>
          <cell r="B307" t="str">
            <v>MARCOS</v>
          </cell>
        </row>
        <row r="308">
          <cell r="A308" t="str">
            <v>LEONARDO AUGUSTO EDART</v>
          </cell>
          <cell r="B308" t="str">
            <v>MARCOS</v>
          </cell>
        </row>
        <row r="309">
          <cell r="A309" t="str">
            <v>HILDEGA HIBNER</v>
          </cell>
          <cell r="B309" t="str">
            <v>MARCOS</v>
          </cell>
        </row>
        <row r="310">
          <cell r="A310" t="str">
            <v>PEDRO MANOEL LOPES MENDONCA</v>
          </cell>
          <cell r="B310" t="str">
            <v>MARCOS</v>
          </cell>
        </row>
        <row r="311">
          <cell r="A311" t="str">
            <v>NATALY ADRIANA DA SILVA</v>
          </cell>
          <cell r="B311" t="str">
            <v>MARCOS</v>
          </cell>
        </row>
        <row r="312">
          <cell r="A312" t="str">
            <v>LUANA CRISTINA DA SILVA</v>
          </cell>
          <cell r="B312" t="str">
            <v>MARCOS</v>
          </cell>
        </row>
        <row r="313">
          <cell r="A313" t="str">
            <v>VIVIAN MAUTA DA SILVA</v>
          </cell>
          <cell r="B313" t="str">
            <v>MARCOS</v>
          </cell>
        </row>
        <row r="314">
          <cell r="A314" t="str">
            <v>CLAYTON MIRANDA BATISTA</v>
          </cell>
          <cell r="B314" t="str">
            <v>MARCOS</v>
          </cell>
        </row>
        <row r="315">
          <cell r="A315" t="str">
            <v>KETHLYN MARIA MACHADO HALABURA</v>
          </cell>
          <cell r="B315" t="str">
            <v>MARCOS</v>
          </cell>
        </row>
        <row r="316">
          <cell r="A316" t="str">
            <v>RODRIGO PINHEIRO BERTO</v>
          </cell>
          <cell r="B316" t="str">
            <v>MARCOS</v>
          </cell>
        </row>
        <row r="317">
          <cell r="A317" t="str">
            <v>CARLA JANAINA DE SOUZA</v>
          </cell>
          <cell r="B317" t="str">
            <v>MARCOS</v>
          </cell>
        </row>
        <row r="318">
          <cell r="A318" t="str">
            <v>LEONARDO VICTOR NEPPEL</v>
          </cell>
          <cell r="B318" t="str">
            <v>MARCOS</v>
          </cell>
        </row>
        <row r="319">
          <cell r="A319" t="str">
            <v>JULIETE CAETANO DE LIMA DOS SANTOS</v>
          </cell>
          <cell r="B319" t="str">
            <v>MARCOS</v>
          </cell>
        </row>
        <row r="320">
          <cell r="A320" t="str">
            <v>WESLEY XAVIER DO NASCIMENTO</v>
          </cell>
          <cell r="B320" t="str">
            <v>MARCOS</v>
          </cell>
        </row>
        <row r="321">
          <cell r="A321" t="str">
            <v>NICOLE MILENA DOS SANTOS TAVARES</v>
          </cell>
          <cell r="B321" t="str">
            <v>MARCOS</v>
          </cell>
        </row>
        <row r="322">
          <cell r="A322" t="str">
            <v>DARKYLA MARRIE TRICOSSI</v>
          </cell>
          <cell r="B322" t="str">
            <v>MARCOS</v>
          </cell>
        </row>
        <row r="323">
          <cell r="A323" t="str">
            <v>EDUARDO SCHMIDERKAL DE ALMEIDA JORGE</v>
          </cell>
          <cell r="B323" t="str">
            <v>MARCOS</v>
          </cell>
        </row>
        <row r="324">
          <cell r="A324" t="str">
            <v>RODRIGO PINHEIRO BERTO</v>
          </cell>
          <cell r="B324" t="str">
            <v>MARCOS</v>
          </cell>
        </row>
        <row r="325">
          <cell r="A325" t="str">
            <v>DIOGO BRITTO DO NASCIMENTO</v>
          </cell>
          <cell r="B325" t="str">
            <v>MARCOS</v>
          </cell>
        </row>
        <row r="326">
          <cell r="A326" t="str">
            <v>LUCIANA NICOLOSI RODRIGUES</v>
          </cell>
          <cell r="B326" t="str">
            <v>MARCOS</v>
          </cell>
        </row>
        <row r="327">
          <cell r="A327" t="str">
            <v>CARLOS ALBERTO TORTATO PEDROSO</v>
          </cell>
          <cell r="B327" t="str">
            <v>MARCOS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ICTOR HUGO ZANELLA DIAS" refreshedDate="45324.703341319444" backgroundQuery="1" createdVersion="8" refreshedVersion="8" minRefreshableVersion="3" recordCount="0" supportSubquery="1" supportAdvancedDrill="1" xr:uid="{5955645E-8EF7-4EDC-96BE-624DD817B71A}">
  <cacheSource type="external" connectionId="9"/>
  <cacheFields count="4">
    <cacheField name="[Tabela2].[Nome_Colaborador].[Nome_Colaborador]" caption="Nome_Colaborador" numFmtId="0" level="1">
      <sharedItems count="68">
        <s v="ANA CRISTINA DE JESUS MACEDO DE FREITAS"/>
        <s v="ANDRIELLE FERNANDES"/>
        <s v="ANNA SARAH GOMES MACENA DA SIVA"/>
        <s v="CELSO GEFFER"/>
        <s v="CRISTINA ALVES SCHNABEL"/>
        <s v="DAIANE PRISCILA SAIVISCH"/>
        <s v="KAROLINE RODRIGUES KURTEN"/>
        <s v="REBECA SOARES FERREIRA"/>
        <s v="THIAGO WILLIAN BORGES OLIVEIRA"/>
        <s v="ADRIANE FERREIRA DOS SANTOS"/>
        <s v="ANTONIO CARLOS ALVES PINHEIRO"/>
        <s v="DALINE VIEIRA DE MOURA LISBOA"/>
        <s v="NATASHA DE LIMA DO NASCIMENTO"/>
        <s v="PAULA ARIELI CARVALHO BORGES"/>
        <s v="STEFANY DA SILVA GOMES"/>
        <s v="WALBER JEFFERSON GONCALVES"/>
        <s v="ANA PAULA FERREIRA"/>
        <s v="ANA PAULA PIMENTEL SOARES MOCHNACZ"/>
        <s v="CIBELE CRISTINA DA SILVA COSTA"/>
        <s v="FRANCISCA GOMES COUTINHO"/>
        <s v="LETICIA MINOSSO CARVALHO"/>
        <s v="SUELEN SAMPAIO DA COSTA"/>
        <s v="TATIANE MARIA DALCIM ANTUNES"/>
        <s v="ALEXANDRE SILVEIRA"/>
        <s v="CARLA SUSAN SANTOS DE SOUZA"/>
        <s v="FABIANO TEMISKI MUNIZ"/>
        <s v="MANOEL FELIPE DA CRUZ"/>
        <s v="RAFAEL DOS SANTOS ALMEIDA OLIVEIRA"/>
        <s v="THIAGO VICENTE GONZAGA PONTES"/>
        <s v="ALEXANDRE CUARTES DA SILVA"/>
        <s v="ALINE APARECIDA DE ANDRADE"/>
        <s v="MICHELLE CRISTINA DE CAMARGO COUTINHO"/>
        <s v="THACIANE APARECIDA OTKA"/>
        <s v="THAINA LARISSA PEREIRA DA SILVA"/>
        <s v="VINICIOS HENRARD"/>
        <s v="WILLIAN PEDROSO DO ROSARIO"/>
        <s v="ANA GABRIELE DA SILVA COSTA"/>
        <s v="ANA PAULA DE SOUZA SEZRAIBER"/>
        <s v="DANIELE DA SILVEIRA GUTSTEIN MASSAROTTO"/>
        <s v="DAYANE NAYARA RUFINO LIMA"/>
        <s v="EVELYN GONCALVES DOS SANTOS FERREIRA"/>
        <s v="LAERTES DE PAULA AFONSO JUNIOR"/>
        <s v="PATRICK WALLAN RODRIGUES SUTIL"/>
        <s v="ADOILSON LIMA DO NASCIMENTO"/>
        <s v="AMANDA CRISTINA DE OLIVEIRA"/>
        <s v="ANA CLARA TERLECKI VITORINO DOS SANTOS"/>
        <s v="ANGELYCA FRANÇA DE OLIVEIRA"/>
        <s v="BARBARA YUMI LEMOS KIKUCHI RIBEIRO"/>
        <s v="CARLOS DANILO PACHECO"/>
        <s v="DIEGO ANDREATTA PEREIRA"/>
        <s v="ERICE RENATO NAVARROS OPIMI"/>
        <s v="GENILSON FELICIO"/>
        <s v="GUSTAVO LAGO DO NASCIMENTO"/>
        <s v="LEANDRO CAVALCANTE LIMA"/>
        <s v="LEONARDO ALMEIDA DE ANDRADE"/>
        <s v="LUIZ HENRIQUE NEUMANN DE FREITAS"/>
        <s v="MARCOS LOURENCO DA FONSECA"/>
        <s v="MARINETE MARTIELHO SOARES"/>
        <s v="ROBSON OLIVEIRA SOUZA"/>
        <s v="SABRINA RIBEIRO DIAS"/>
        <s v="VICTOR HUGO ZANELLA DIAS"/>
        <s v="VINICIUS EDUARDO BARAUSE"/>
        <s v="ANDRE LUIS BIANCHI"/>
        <s v="BRUNA STEFFANIE LIMA GUIMARAES"/>
        <s v="FRANCIELE DA CONCEICAO DOS SANTOS"/>
        <s v="KRYSTHAL CRISTINE DA SILVA HEIN"/>
        <s v="LARISSA LIMA DA SILVA TEIXEIRA"/>
        <s v="SANDRO OLIVEIRA CLITON BEZERRA"/>
      </sharedItems>
    </cacheField>
    <cacheField name="[Tabela2].[REPORTE].[REPORTE]" caption="REPORTE" numFmtId="0" hierarchy="4" level="1">
      <sharedItems count="8">
        <s v="ADOILSON"/>
        <s v="AMANDA/DIEGO"/>
        <s v="ANGELYCA"/>
        <s v="ERICE"/>
        <s v="GENILSON"/>
        <s v="GUSTAVO"/>
        <s v="MARCOS"/>
        <s v="SABRINA"/>
      </sharedItems>
    </cacheField>
    <cacheField name="[Measures].[Contagem de Nome_Colaborador]" caption="Contagem de Nome_Colaborador" numFmtId="0" hierarchy="16" level="32767"/>
    <cacheField name="[Tabela2].[SIT. ATUAL].[SIT. ATUAL]" caption="SIT. ATUAL" numFmtId="0" hierarchy="6" level="1">
      <sharedItems containsSemiMixedTypes="0" containsNonDate="0" containsString="0"/>
    </cacheField>
  </cacheFields>
  <cacheHierarchies count="18">
    <cacheHierarchy uniqueName="[Tabela2].[Nome_Colaborador]" caption="Nome_Colaborador" attribute="1" defaultMemberUniqueName="[Tabela2].[Nome_Colaborador].[All]" allUniqueName="[Tabela2].[Nome_Colaborador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RU]" caption="RU" attribute="1" defaultMemberUniqueName="[Tabela2].[RU].[All]" allUniqueName="[Tabela2].[RU].[All]" dimensionUniqueName="[Tabela2]" displayFolder="" count="0" memberValueDatatype="20" unbalanced="0"/>
    <cacheHierarchy uniqueName="[Tabela2].[MATRICULA]" caption="MATRICULA" attribute="1" defaultMemberUniqueName="[Tabela2].[MATRICULA].[All]" allUniqueName="[Tabela2].[MATRICULA].[All]" dimensionUniqueName="[Tabela2]" displayFolder="" count="0" memberValueDatatype="20" unbalanced="0"/>
    <cacheHierarchy uniqueName="[Tabela2].[CARGO]" caption="CARGO" attribute="1" defaultMemberUniqueName="[Tabela2].[CARGO].[All]" allUniqueName="[Tabela2].[CARGO].[All]" dimensionUniqueName="[Tabela2]" displayFolder="" count="0" memberValueDatatype="130" unbalanced="0"/>
    <cacheHierarchy uniqueName="[Tabela2].[REPORTE]" caption="REPORTE" attribute="1" defaultMemberUniqueName="[Tabela2].[REPORTE].[All]" allUniqueName="[Tabela2].[REPORTE].[All]" dimensionUniqueName="[Tabela2]" displayFolder="" count="2" memberValueDatatype="130" unbalanced="0">
      <fieldsUsage count="2">
        <fieldUsage x="-1"/>
        <fieldUsage x="1"/>
      </fieldsUsage>
    </cacheHierarchy>
    <cacheHierarchy uniqueName="[Tabela2].[EQUIPE]" caption="EQUIPE" attribute="1" defaultMemberUniqueName="[Tabela2].[EQUIPE].[All]" allUniqueName="[Tabela2].[EQUIPE].[All]" dimensionUniqueName="[Tabela2]" displayFolder="" count="2" memberValueDatatype="130" unbalanced="0"/>
    <cacheHierarchy uniqueName="[Tabela2].[SIT. ATUAL]" caption="SIT. ATUAL" attribute="1" defaultMemberUniqueName="[Tabela2].[SIT. ATUAL].[All]" allUniqueName="[Tabela2].[SIT. ATUAL].[All]" dimensionUniqueName="[Tabela2]" displayFolder="" count="2" memberValueDatatype="130" unbalanced="0">
      <fieldsUsage count="2">
        <fieldUsage x="-1"/>
        <fieldUsage x="3"/>
      </fieldsUsage>
    </cacheHierarchy>
    <cacheHierarchy uniqueName="[Tabela2].[DATA_RETORNO]" caption="DATA_RETORNO" attribute="1" time="1" defaultMemberUniqueName="[Tabela2].[DATA_RETORNO].[All]" allUniqueName="[Tabela2].[DATA_RETORNO].[All]" dimensionUniqueName="[Tabela2]" displayFolder="" count="0" memberValueDatatype="7" unbalanced="0"/>
    <cacheHierarchy uniqueName="[Tabela2].[METAS]" caption="METAS" attribute="1" defaultMemberUniqueName="[Tabela2].[METAS].[All]" allUniqueName="[Tabela2].[METAS].[All]" dimensionUniqueName="[Tabela2]" displayFolder="" count="0" memberValueDatatype="130" unbalanced="0"/>
    <cacheHierarchy uniqueName="[Tabela2].[SENHA]" caption="SENHA" attribute="1" defaultMemberUniqueName="[Tabela2].[SENHA].[All]" allUniqueName="[Tabela2].[SENHA].[All]" dimensionUniqueName="[Tabela2]" displayFolder="" count="0" memberValueDatatype="20" unbalanced="0"/>
    <cacheHierarchy uniqueName="[Tabela2].[Coluna1]" caption="Coluna1" attribute="1" defaultMemberUniqueName="[Tabela2].[Coluna1].[All]" allUniqueName="[Tabela2].[Coluna1].[All]" dimensionUniqueName="[Tabela2]" displayFolder="" count="0" memberValueDatatype="130" unbalanced="0"/>
    <cacheHierarchy uniqueName="[TODOS_COLABORADORES].[COLABORADOR]" caption="COLABORADOR" attribute="1" defaultMemberUniqueName="[TODOS_COLABORADORES].[COLABORADOR].[All]" allUniqueName="[TODOS_COLABORADORES].[COLABORADOR].[All]" dimensionUniqueName="[TODOS_COLABORADORES]" displayFolder="" count="0" memberValueDatatype="130" unbalanced="0"/>
    <cacheHierarchy uniqueName="[TODOS_COLABORADORES].[SITUAÇÃO]" caption="SITUAÇÃO" attribute="1" defaultMemberUniqueName="[TODOS_COLABORADORES].[SITUAÇÃO].[All]" allUniqueName="[TODOS_COLABORADORES].[SITUAÇÃO].[All]" dimensionUniqueName="[TODOS_COLABORADORES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ODOS_COLABORADORES]" caption="__XL_Count TODOS_COLABORADORES" measure="1" displayFolder="" measureGroup="TODOS_COLABORADORES" count="0" hidden="1"/>
    <cacheHierarchy uniqueName="[Measures].[__No measures defined]" caption="__No measures defined" measure="1" displayFolder="" count="0" hidden="1"/>
    <cacheHierarchy uniqueName="[Measures].[Contagem de Nome_Colaborador]" caption="Contagem de Nome_Colaborador" measure="1" displayFolder="" measureGroup="Tabela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ITUAÇÃO]" caption="Contagem de SITUAÇÃO" measure="1" displayFolder="" measureGroup="TODOS_COLABORADORE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3">
    <dimension measure="1" name="Measures" uniqueName="[Measures]" caption="Measures"/>
    <dimension name="Tabela2" uniqueName="[Tabela2]" caption="Tabela2"/>
    <dimension name="TODOS_COLABORADORES" uniqueName="[TODOS_COLABORADORES]" caption="TODOS_COLABORADORES"/>
  </dimensions>
  <measureGroups count="2">
    <measureGroup name="Tabela2" caption="Tabela2"/>
    <measureGroup name="TODOS_COLABORADORES" caption="TODOS_COLABORADORES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VICTOR HUGO ZANELLA DIAS" refreshedDate="45324.703204282407" backgroundQuery="1" createdVersion="3" refreshedVersion="8" minRefreshableVersion="3" recordCount="0" supportSubquery="1" supportAdvancedDrill="1" xr:uid="{1F305ED2-0A5C-4954-A6CE-27406F8A53B2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8">
    <cacheHierarchy uniqueName="[Tabela2].[Nome_Colaborador]" caption="Nome_Colaborador" attribute="1" defaultMemberUniqueName="[Tabela2].[Nome_Colaborador].[All]" allUniqueName="[Tabela2].[Nome_Colaborador].[All]" dimensionUniqueName="[Tabela2]" displayFolder="" count="0" memberValueDatatype="130" unbalanced="0"/>
    <cacheHierarchy uniqueName="[Tabela2].[RU]" caption="RU" attribute="1" defaultMemberUniqueName="[Tabela2].[RU].[All]" allUniqueName="[Tabela2].[RU].[All]" dimensionUniqueName="[Tabela2]" displayFolder="" count="0" memberValueDatatype="20" unbalanced="0"/>
    <cacheHierarchy uniqueName="[Tabela2].[MATRICULA]" caption="MATRICULA" attribute="1" defaultMemberUniqueName="[Tabela2].[MATRICULA].[All]" allUniqueName="[Tabela2].[MATRICULA].[All]" dimensionUniqueName="[Tabela2]" displayFolder="" count="0" memberValueDatatype="20" unbalanced="0"/>
    <cacheHierarchy uniqueName="[Tabela2].[CARGO]" caption="CARGO" attribute="1" defaultMemberUniqueName="[Tabela2].[CARGO].[All]" allUniqueName="[Tabela2].[CARGO].[All]" dimensionUniqueName="[Tabela2]" displayFolder="" count="0" memberValueDatatype="130" unbalanced="0"/>
    <cacheHierarchy uniqueName="[Tabela2].[REPORTE]" caption="REPORTE" attribute="1" defaultMemberUniqueName="[Tabela2].[REPORTE].[All]" allUniqueName="[Tabela2].[REPORTE].[All]" dimensionUniqueName="[Tabela2]" displayFolder="" count="0" memberValueDatatype="130" unbalanced="0"/>
    <cacheHierarchy uniqueName="[Tabela2].[EQUIPE]" caption="EQUIPE" attribute="1" defaultMemberUniqueName="[Tabela2].[EQUIPE].[All]" allUniqueName="[Tabela2].[EQUIPE].[All]" dimensionUniqueName="[Tabela2]" displayFolder="" count="2" memberValueDatatype="130" unbalanced="0"/>
    <cacheHierarchy uniqueName="[Tabela2].[SIT. ATUAL]" caption="SIT. ATUAL" attribute="1" defaultMemberUniqueName="[Tabela2].[SIT. ATUAL].[All]" allUniqueName="[Tabela2].[SIT. ATUAL].[All]" dimensionUniqueName="[Tabela2]" displayFolder="" count="2" memberValueDatatype="130" unbalanced="0"/>
    <cacheHierarchy uniqueName="[Tabela2].[DATA_RETORNO]" caption="DATA_RETORNO" attribute="1" time="1" defaultMemberUniqueName="[Tabela2].[DATA_RETORNO].[All]" allUniqueName="[Tabela2].[DATA_RETORNO].[All]" dimensionUniqueName="[Tabela2]" displayFolder="" count="0" memberValueDatatype="7" unbalanced="0"/>
    <cacheHierarchy uniqueName="[Tabela2].[METAS]" caption="METAS" attribute="1" defaultMemberUniqueName="[Tabela2].[METAS].[All]" allUniqueName="[Tabela2].[METAS].[All]" dimensionUniqueName="[Tabela2]" displayFolder="" count="0" memberValueDatatype="130" unbalanced="0"/>
    <cacheHierarchy uniqueName="[Tabela2].[SENHA]" caption="SENHA" attribute="1" defaultMemberUniqueName="[Tabela2].[SENHA].[All]" allUniqueName="[Tabela2].[SENHA].[All]" dimensionUniqueName="[Tabela2]" displayFolder="" count="0" memberValueDatatype="20" unbalanced="0"/>
    <cacheHierarchy uniqueName="[Tabela2].[Coluna1]" caption="Coluna1" attribute="1" defaultMemberUniqueName="[Tabela2].[Coluna1].[All]" allUniqueName="[Tabela2].[Coluna1].[All]" dimensionUniqueName="[Tabela2]" displayFolder="" count="0" memberValueDatatype="130" unbalanced="0"/>
    <cacheHierarchy uniqueName="[TODOS_COLABORADORES].[COLABORADOR]" caption="COLABORADOR" attribute="1" defaultMemberUniqueName="[TODOS_COLABORADORES].[COLABORADOR].[All]" allUniqueName="[TODOS_COLABORADORES].[COLABORADOR].[All]" dimensionUniqueName="[TODOS_COLABORADORES]" displayFolder="" count="0" memberValueDatatype="130" unbalanced="0"/>
    <cacheHierarchy uniqueName="[TODOS_COLABORADORES].[SITUAÇÃO]" caption="SITUAÇÃO" attribute="1" defaultMemberUniqueName="[TODOS_COLABORADORES].[SITUAÇÃO].[All]" allUniqueName="[TODOS_COLABORADORES].[SITUAÇÃO].[All]" dimensionUniqueName="[TODOS_COLABORADORES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ODOS_COLABORADORES]" caption="__XL_Count TODOS_COLABORADORES" measure="1" displayFolder="" measureGroup="TODOS_COLABORADORES" count="0" hidden="1"/>
    <cacheHierarchy uniqueName="[Measures].[__No measures defined]" caption="__No measures defined" measure="1" displayFolder="" count="0" hidden="1"/>
    <cacheHierarchy uniqueName="[Measures].[Contagem de Nome_Colaborador]" caption="Contagem de Nome_Colaborador" measure="1" displayFolder="" measureGroup="Tabela2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ITUAÇÃO]" caption="Contagem de SITUAÇÃO" measure="1" displayFolder="" measureGroup="TODOS_COLABORADORE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49969336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81C49B-1042-497A-A1BF-3FACD293FB64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Nome Colaborador">
  <location ref="A1:B78" firstHeaderRow="1" firstDataRow="1" firstDataCol="1"/>
  <pivotFields count="4">
    <pivotField axis="axisRow" allDrilled="1" showAll="0" dataSourceSort="1" defaultAttributeDrillState="1">
      <items count="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ubtotalTop="0" showAll="0" defaultSubtotal="0"/>
    <pivotField allDrilled="1" showAll="0" dataSourceSort="1" defaultAttributeDrillState="1"/>
  </pivotFields>
  <rowFields count="2">
    <field x="1"/>
    <field x="0"/>
  </rowFields>
  <rowItems count="7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3"/>
    </i>
    <i r="1">
      <x v="23"/>
    </i>
    <i r="1">
      <x v="24"/>
    </i>
    <i r="1">
      <x v="25"/>
    </i>
    <i r="1">
      <x v="26"/>
    </i>
    <i r="1">
      <x v="27"/>
    </i>
    <i r="1">
      <x v="28"/>
    </i>
    <i>
      <x v="4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>
      <x v="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>
      <x v="6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>
      <x v="7"/>
    </i>
    <i r="1">
      <x v="62"/>
    </i>
    <i r="1">
      <x v="63"/>
    </i>
    <i r="1">
      <x v="64"/>
    </i>
    <i r="1">
      <x v="65"/>
    </i>
    <i r="1">
      <x v="66"/>
    </i>
    <i r="1">
      <x v="67"/>
    </i>
    <i t="grand">
      <x/>
    </i>
  </rowItems>
  <colItems count="1">
    <i/>
  </colItems>
  <dataFields count="1">
    <dataField name="Nº de Colaboradores" fld="2" subtotal="count" baseField="0" baseItem="0"/>
  </dataFields>
  <formats count="24">
    <format dxfId="104">
      <pivotArea outline="0" collapsedLevelsAreSubtotals="1" fieldPosition="0"/>
    </format>
    <format dxfId="103">
      <pivotArea dataOnly="0" labelOnly="1" outline="0" axis="axisValues" fieldPosition="0"/>
    </format>
    <format dxfId="102">
      <pivotArea field="1" type="button" dataOnly="0" labelOnly="1" outline="0" axis="axisRow" fieldPosition="0"/>
    </format>
    <format dxfId="101">
      <pivotArea dataOnly="0" labelOnly="1" fieldPosition="0">
        <references count="1">
          <reference field="1" count="0"/>
        </references>
      </pivotArea>
    </format>
    <format dxfId="100">
      <pivotArea dataOnly="0" labelOnly="1" grandRow="1" outline="0" fieldPosition="0"/>
    </format>
    <format dxfId="99">
      <pivotArea dataOnly="0" labelOnly="1" fieldPosition="0">
        <references count="2">
          <reference field="0" count="9">
            <x v="0"/>
            <x v="1"/>
            <x v="2"/>
            <x v="3"/>
            <x v="4"/>
            <x v="5"/>
            <x v="6"/>
            <x v="7"/>
            <x v="8"/>
          </reference>
          <reference field="1" count="1" selected="0">
            <x v="0"/>
          </reference>
        </references>
      </pivotArea>
    </format>
    <format dxfId="98">
      <pivotArea dataOnly="0" labelOnly="1" fieldPosition="0">
        <references count="2">
          <reference field="0" count="7">
            <x v="29"/>
            <x v="30"/>
            <x v="31"/>
            <x v="32"/>
            <x v="33"/>
            <x v="34"/>
            <x v="35"/>
          </reference>
          <reference field="1" count="1" selected="0">
            <x v="4"/>
          </reference>
        </references>
      </pivotArea>
    </format>
    <format dxfId="97">
      <pivotArea dataOnly="0" labelOnly="1" fieldPosition="0">
        <references count="2">
          <reference field="0" count="6">
            <x v="43"/>
            <x v="46"/>
            <x v="50"/>
            <x v="51"/>
            <x v="52"/>
            <x v="59"/>
          </reference>
          <reference field="1" count="1" selected="0">
            <x v="6"/>
          </reference>
        </references>
      </pivotArea>
    </format>
    <format dxfId="96">
      <pivotArea dataOnly="0" labelOnly="1" fieldPosition="0">
        <references count="2">
          <reference field="0" count="6">
            <x v="62"/>
            <x v="63"/>
            <x v="64"/>
            <x v="65"/>
            <x v="66"/>
            <x v="6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7">
            <x v="16"/>
            <x v="17"/>
            <x v="18"/>
            <x v="19"/>
            <x v="20"/>
            <x v="21"/>
            <x v="22"/>
          </reference>
          <reference field="1" count="1" selected="0">
            <x v="2"/>
          </reference>
        </references>
      </pivotArea>
    </format>
    <format dxfId="94">
      <pivotArea dataOnly="0" labelOnly="1" fieldPosition="0">
        <references count="2">
          <reference field="0" count="6">
            <x v="23"/>
            <x v="24"/>
            <x v="25"/>
            <x v="26"/>
            <x v="27"/>
            <x v="28"/>
          </reference>
          <reference field="1" count="1" selected="0">
            <x v="3"/>
          </reference>
        </references>
      </pivotArea>
    </format>
    <format dxfId="93">
      <pivotArea dataOnly="0" labelOnly="1" fieldPosition="0">
        <references count="2">
          <reference field="0" count="7">
            <x v="36"/>
            <x v="37"/>
            <x v="38"/>
            <x v="39"/>
            <x v="40"/>
            <x v="41"/>
            <x v="42"/>
          </reference>
          <reference field="1" count="1" selected="0">
            <x v="5"/>
          </reference>
        </references>
      </pivotArea>
    </format>
    <format dxfId="92">
      <pivotArea dataOnly="0" labelOnly="1" fieldPosition="0">
        <references count="2">
          <reference field="0" count="7">
            <x v="9"/>
            <x v="10"/>
            <x v="11"/>
            <x v="12"/>
            <x v="13"/>
            <x v="14"/>
            <x v="15"/>
          </reference>
          <reference field="1" count="1" selected="0">
            <x v="1"/>
          </reference>
        </references>
      </pivotArea>
    </format>
    <format dxfId="91">
      <pivotArea field="1" type="button" dataOnly="0" labelOnly="1" outline="0" axis="axisRow" fieldPosition="0"/>
    </format>
    <format dxfId="90">
      <pivotArea dataOnly="0" labelOnly="1" fieldPosition="0">
        <references count="1">
          <reference field="1" count="0"/>
        </references>
      </pivotArea>
    </format>
    <format dxfId="89">
      <pivotArea dataOnly="0" labelOnly="1" grandRow="1" outline="0" fieldPosition="0"/>
    </format>
    <format dxfId="88">
      <pivotArea dataOnly="0" labelOnly="1" fieldPosition="0">
        <references count="2">
          <reference field="0" count="9">
            <x v="0"/>
            <x v="1"/>
            <x v="2"/>
            <x v="3"/>
            <x v="4"/>
            <x v="5"/>
            <x v="6"/>
            <x v="7"/>
            <x v="8"/>
          </reference>
          <reference field="1" count="1" selected="0">
            <x v="0"/>
          </reference>
        </references>
      </pivotArea>
    </format>
    <format dxfId="87">
      <pivotArea dataOnly="0" labelOnly="1" fieldPosition="0">
        <references count="2">
          <reference field="0" count="7">
            <x v="9"/>
            <x v="10"/>
            <x v="11"/>
            <x v="12"/>
            <x v="13"/>
            <x v="14"/>
            <x v="15"/>
          </reference>
          <reference field="1" count="1" selected="0">
            <x v="1"/>
          </reference>
        </references>
      </pivotArea>
    </format>
    <format dxfId="86">
      <pivotArea dataOnly="0" labelOnly="1" fieldPosition="0">
        <references count="2">
          <reference field="0" count="7">
            <x v="16"/>
            <x v="17"/>
            <x v="18"/>
            <x v="19"/>
            <x v="20"/>
            <x v="21"/>
            <x v="22"/>
          </reference>
          <reference field="1" count="1" selected="0">
            <x v="2"/>
          </reference>
        </references>
      </pivotArea>
    </format>
    <format dxfId="85">
      <pivotArea dataOnly="0" labelOnly="1" fieldPosition="0">
        <references count="2">
          <reference field="0" count="6">
            <x v="23"/>
            <x v="24"/>
            <x v="25"/>
            <x v="26"/>
            <x v="27"/>
            <x v="28"/>
          </reference>
          <reference field="1" count="1" selected="0">
            <x v="3"/>
          </reference>
        </references>
      </pivotArea>
    </format>
    <format dxfId="84">
      <pivotArea dataOnly="0" labelOnly="1" fieldPosition="0">
        <references count="2">
          <reference field="0" count="7">
            <x v="29"/>
            <x v="30"/>
            <x v="31"/>
            <x v="32"/>
            <x v="33"/>
            <x v="34"/>
            <x v="35"/>
          </reference>
          <reference field="1" count="1" selected="0">
            <x v="4"/>
          </reference>
        </references>
      </pivotArea>
    </format>
    <format dxfId="83">
      <pivotArea dataOnly="0" labelOnly="1" fieldPosition="0">
        <references count="2">
          <reference field="0" count="7">
            <x v="36"/>
            <x v="37"/>
            <x v="38"/>
            <x v="39"/>
            <x v="40"/>
            <x v="41"/>
            <x v="42"/>
          </reference>
          <reference field="1" count="1" selected="0">
            <x v="5"/>
          </reference>
        </references>
      </pivotArea>
    </format>
    <format dxfId="82">
      <pivotArea dataOnly="0" labelOnly="1" fieldPosition="0">
        <references count="2">
          <reference field="0" count="8">
            <x v="43"/>
            <x v="44"/>
            <x v="46"/>
            <x v="49"/>
            <x v="50"/>
            <x v="51"/>
            <x v="52"/>
            <x v="59"/>
          </reference>
          <reference field="1" count="1" selected="0">
            <x v="6"/>
          </reference>
        </references>
      </pivotArea>
    </format>
    <format dxfId="81">
      <pivotArea dataOnly="0" labelOnly="1" fieldPosition="0">
        <references count="2">
          <reference field="0" count="6">
            <x v="62"/>
            <x v="63"/>
            <x v="64"/>
            <x v="65"/>
            <x v="66"/>
            <x v="67"/>
          </reference>
          <reference field="1" count="1" selected="0">
            <x v="7"/>
          </reference>
        </references>
      </pivotArea>
    </format>
  </formats>
  <pivotHierarchies count="18"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3" level="1">
        <member name="[Tabela2].[SIT. ATUAL].&amp;[AFASTADO]"/>
        <member name="[Tabela2].[SIT. ATUAL].&amp;[ATIVO]"/>
        <member name="[Tabela2].[SIT. ATUAL].&amp;[FÉRIA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Nº de Colaboradores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QUIPE COMPLETA COB E TELE.xlsx!Tabela2">
        <x15:activeTabTopLevelEntity name="[Tabela2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QUIPE" xr10:uid="{540276D4-B584-45F9-94EC-CD667CCF69E3}" sourceName="[Tabela2].[EQUIPE]">
  <pivotTables>
    <pivotTable tabId="5" name="Tabela dinâmica1"/>
  </pivotTables>
  <data>
    <olap pivotCacheId="1499693368">
      <levels count="2">
        <level uniqueName="[Tabela2].[EQUIPE].[(All)]" sourceCaption="(All)" count="0"/>
        <level uniqueName="[Tabela2].[EQUIPE].[EQUIPE]" sourceCaption="EQUIPE" count="3">
          <ranges>
            <range startItem="0">
              <i n="[Tabela2].[EQUIPE].&amp;[COBRANÇA_GERAL]" c="COBRANÇA_GERAL"/>
              <i n="[Tabela2].[EQUIPE].&amp;[MARCOS]" c="MARCOS"/>
              <i n="[Tabela2].[EQUIPE].&amp;[Telecobrança]" c="Telecobrança"/>
            </range>
          </ranges>
        </level>
      </levels>
      <selections count="1">
        <selection n="[Tabela2].[EQUIP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T._ATUAL" xr10:uid="{1D56BE34-7B19-4C17-9BA3-0FD91BD621DC}" sourceName="[Tabela2].[SIT. ATUAL]">
  <pivotTables>
    <pivotTable tabId="5" name="Tabela dinâmica1"/>
  </pivotTables>
  <data>
    <olap pivotCacheId="1499693368">
      <levels count="2">
        <level uniqueName="[Tabela2].[SIT. ATUAL].[(All)]" sourceCaption="(All)" count="0"/>
        <level uniqueName="[Tabela2].[SIT. ATUAL].[SIT. ATUAL]" sourceCaption="SIT. ATUAL" count="4">
          <ranges>
            <range startItem="0">
              <i n="[Tabela2].[SIT. ATUAL].&amp;[AFASTADO]" c="AFASTADO"/>
              <i n="[Tabela2].[SIT. ATUAL].&amp;[ATIVO]" c="ATIVO"/>
              <i n="[Tabela2].[SIT. ATUAL].&amp;[FÉRIAS]" c="FÉRIAS"/>
              <i n="[Tabela2].[SIT. ATUAL].&amp;[INATIVOS]" c="INATIVOS"/>
            </range>
          </ranges>
        </level>
      </levels>
      <selections count="3">
        <selection n="[Tabela2].[SIT. ATUAL].&amp;[AFASTADO]"/>
        <selection n="[Tabela2].[SIT. ATUAL].&amp;[ATIVO]"/>
        <selection n="[Tabela2].[SIT. ATUAL].&amp;[FÉRIAS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QUIPE" xr10:uid="{C1960C1C-8C3A-4F61-8433-438C85FE639C}" cache="SegmentaçãodeDados_EQUIPE" caption="EQUIPE" columnCount="2" level="1" rowHeight="234950"/>
  <slicer name="SIT. ATUAL" xr10:uid="{5F45A3C4-4DBA-48D4-8860-67094E7760AD}" cache="SegmentaçãodeDados_SIT._ATUAL" caption="SIT. ATUAL" level="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12F273-45B7-4FC8-89AE-D79DC0E7B7B8}" name="Tabela2" displayName="Tabela2" ref="A1:K327" totalsRowShown="0" dataDxfId="121">
  <autoFilter ref="A1:K327" xr:uid="{2FFF5888-57F9-422A-8118-6B5BFFFA58AE}">
    <filterColumn colId="6">
      <filters>
        <filter val="AFASTADO"/>
        <filter val="ATIVO"/>
        <filter val="FÉRIAS"/>
      </filters>
    </filterColumn>
  </autoFilter>
  <tableColumns count="11">
    <tableColumn id="1" xr3:uid="{3BD4860F-F548-40A1-8EE9-2701658FD9A1}" name="Nome_Colaborador" dataDxfId="120"/>
    <tableColumn id="2" xr3:uid="{DDC45964-9A95-48AF-9157-DFAD2CC0F787}" name="RU" dataDxfId="119"/>
    <tableColumn id="3" xr3:uid="{C2F9009C-0690-411F-BD24-5078BA6C264B}" name="MATRICULA" dataDxfId="118"/>
    <tableColumn id="8" xr3:uid="{E36A99EB-0231-4E9A-93A1-80981F29F645}" name="CARGO" dataDxfId="117"/>
    <tableColumn id="5" xr3:uid="{67DF81C7-4EEC-4B12-847F-E8864ACB35F2}" name="REPORTE" dataDxfId="116"/>
    <tableColumn id="10" xr3:uid="{3DA762E5-6E13-46C7-9806-F507D148A6C4}" name="EQUIPE" dataDxfId="115"/>
    <tableColumn id="6" xr3:uid="{B6E6A85F-EECF-46DF-9555-C477E7CD776B}" name="SIT. ATUAL" dataDxfId="114">
      <calculatedColumnFormula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calculatedColumnFormula>
    </tableColumn>
    <tableColumn id="9" xr3:uid="{D27C8B8C-A890-4720-9210-2D207D62DF49}" name="DATA_RETORNO"/>
    <tableColumn id="4" xr3:uid="{D6B61505-9DAE-4CD7-A4F3-D8B6ABE8B3FF}" name="METAS"/>
    <tableColumn id="7" xr3:uid="{752AE864-CB43-4510-AC5F-F200FB7A1E67}" name="SENHA" dataDxfId="113"/>
    <tableColumn id="11" xr3:uid="{F22A1582-4A28-43C2-8F31-B044AD942AA9}" name="Coluna1" dataDxfId="112">
      <calculatedColumnFormula>Tabela2[[#This Row],[Nome_Colaborador]]&amp;";"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DDCF03-FDA8-4798-9AC7-86C9F7941012}" name="Tabela9" displayName="Tabela9" ref="B1:C279" totalsRowShown="0" headerRowDxfId="73" headerRowBorderDxfId="72" tableBorderDxfId="71">
  <autoFilter ref="B1:C279" xr:uid="{8BDDCF03-FDA8-4798-9AC7-86C9F7941012}"/>
  <sortState xmlns:xlrd2="http://schemas.microsoft.com/office/spreadsheetml/2017/richdata2" ref="B2:C279">
    <sortCondition ref="C1:C279"/>
  </sortState>
  <tableColumns count="2">
    <tableColumn id="1" xr3:uid="{661A2D5E-B1A8-4508-94D2-852210FE869E}" name="COLABORADOR" dataDxfId="70"/>
    <tableColumn id="2" xr3:uid="{6C3CE52E-3CA8-49AA-9644-F1F06904F240}" name="SITUAÇÃO 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A63490-6178-41B1-BA68-47A464CDAF86}" name="Tabela1" displayName="Tabela1" ref="B1:C10" totalsRowShown="0">
  <autoFilter ref="B1:C10" xr:uid="{BEA63490-6178-41B1-BA68-47A464CDAF86}"/>
  <tableColumns count="2">
    <tableColumn id="1" xr3:uid="{F6C620B8-2F0A-43F8-93C0-8ADAE8D6FCD6}" name="COLABORADOR" dataDxfId="65"/>
    <tableColumn id="2" xr3:uid="{A423DAC4-22E6-440C-BB7B-9E32DACC6945}" name="SITUAÇÃO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44788B-6703-45EE-BDFC-77333401BF7F}" name="Tabela8" displayName="Tabela8" ref="B1:C8" totalsRowShown="0" headerRowDxfId="61" headerRowBorderDxfId="60" tableBorderDxfId="59" totalsRowBorderDxfId="58">
  <autoFilter ref="B1:C8" xr:uid="{7944788B-6703-45EE-BDFC-77333401BF7F}"/>
  <tableColumns count="2">
    <tableColumn id="1" xr3:uid="{87BF5EA1-528F-4CAB-B8E3-A61A2E4016CE}" name="COLABORADOR" dataDxfId="57"/>
    <tableColumn id="2" xr3:uid="{024ECF6E-5161-46E4-9476-C9036BBE5535}" name="SITUAÇÃO " dataDxfId="5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AF3FC84-D330-49E9-BE3D-80F2B39B928E}" name="Tabela7" displayName="Tabela7" ref="B1:C7" totalsRowShown="0" headerRowDxfId="52" headerRowBorderDxfId="51" tableBorderDxfId="50" totalsRowBorderDxfId="49">
  <autoFilter ref="B1:C7" xr:uid="{1AF3FC84-D330-49E9-BE3D-80F2B39B928E}"/>
  <tableColumns count="2">
    <tableColumn id="1" xr3:uid="{4E8EE792-F4FE-420F-BD08-F603B9A9D7E3}" name="COLABORADOR" dataDxfId="48"/>
    <tableColumn id="2" xr3:uid="{9F9ED421-2015-43E1-9180-440F6BE7C3C3}" name="SITUAÇÃO " dataDxfId="4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8BBC53-ACFF-44CF-978D-7040C8B8F50A}" name="Tabela6" displayName="Tabela6" ref="B1:C8" totalsRowShown="0" headerRowDxfId="43" headerRowBorderDxfId="42" tableBorderDxfId="41" totalsRowBorderDxfId="40">
  <autoFilter ref="B1:C8" xr:uid="{528BBC53-ACFF-44CF-978D-7040C8B8F50A}"/>
  <tableColumns count="2">
    <tableColumn id="1" xr3:uid="{09F2F80B-78E3-490D-A8E2-ECD78249B3A1}" name="COLABORADOR" dataDxfId="39"/>
    <tableColumn id="2" xr3:uid="{FD206936-0928-4853-9FA8-4E155D15AD57}" name="SITUAÇÃO " dataDxfId="3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3B51E5-3940-4D6A-BE3A-D39744952125}" name="Tabela5" displayName="Tabela5" ref="B1:C8" totalsRowShown="0" headerRowDxfId="34" headerRowBorderDxfId="33" tableBorderDxfId="32" totalsRowBorderDxfId="31">
  <autoFilter ref="B1:C8" xr:uid="{C73B51E5-3940-4D6A-BE3A-D39744952125}"/>
  <tableColumns count="2">
    <tableColumn id="1" xr3:uid="{86E5A4F1-383C-4ED2-A075-3CD02E2A07E5}" name="COLABORADOR" dataDxfId="30"/>
    <tableColumn id="2" xr3:uid="{F801AD9E-E537-4058-91A3-157ACA951006}" name="SITUAÇÃO " dataDxfId="2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C1217F-48BB-4212-9263-494EFCAE3427}" name="Tabela4" displayName="Tabela4" ref="B1:C7" totalsRowShown="0" headerRowDxfId="25" headerRowBorderDxfId="24" tableBorderDxfId="23" totalsRowBorderDxfId="22">
  <autoFilter ref="B1:C7" xr:uid="{DFC1217F-48BB-4212-9263-494EFCAE3427}"/>
  <tableColumns count="2">
    <tableColumn id="1" xr3:uid="{E5E3DA44-E68E-4FBB-8F86-0106B0AA5687}" name="COLABORADOR" dataDxfId="21"/>
    <tableColumn id="2" xr3:uid="{D3EAA31A-E404-48AC-8AF4-4E0ECD6C114C}" name="SITUAÇÃO 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595F52-BC43-44F6-A734-21B4FD4D2D8A}" name="Tabela3" displayName="Tabela3" ref="B1:C8" totalsRowShown="0" headerRowDxfId="16" headerRowBorderDxfId="15" tableBorderDxfId="14">
  <autoFilter ref="B1:C8" xr:uid="{00595F52-BC43-44F6-A734-21B4FD4D2D8A}"/>
  <tableColumns count="2">
    <tableColumn id="1" xr3:uid="{348147D6-AA4C-4CEE-B4D3-F9A07DC4FA19}" name="COLABORADOR"/>
    <tableColumn id="2" xr3:uid="{55501749-F06B-4158-A96E-92DDDAE37353}" name="SITUAÇÃO " dataDxf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E1143B-5FA7-4D57-9230-5CDB94D2268C}" name="Tabela11" displayName="Tabela11" ref="B1:D69" totalsRowShown="0" headerRowDxfId="3" headerRowBorderDxfId="2" tableBorderDxfId="1">
  <autoFilter ref="B1:D69" xr:uid="{84E1143B-5FA7-4D57-9230-5CDB94D2268C}">
    <filterColumn colId="1">
      <filters>
        <filter val="ATIVO"/>
      </filters>
    </filterColumn>
    <filterColumn colId="2">
      <filters>
        <filter val="COBRANÇA_GERAL"/>
      </filters>
    </filterColumn>
  </autoFilter>
  <tableColumns count="3">
    <tableColumn id="1" xr3:uid="{196EF19B-FB77-4E8D-8E4B-16B1BC143B6B}" name="COLABORADOR"/>
    <tableColumn id="2" xr3:uid="{158E2631-8A7A-4ECD-8443-B8B49EDDEC42}" name="SITUAÇÃO ">
      <calculatedColumnFormula>_xlfn.XLOOKUP(B2,COLABS!A:A,COLABS!G:G,"")</calculatedColumnFormula>
    </tableColumn>
    <tableColumn id="3" xr3:uid="{9DBFDFBA-A5CD-4A3E-8D99-2B34B3C89BC7}" name="EQUIPE" dataDxfId="0">
      <calculatedColumnFormula>_xlfn.XLOOKUP(Tabela11[[#This Row],[COLABORADOR]],COLABS!A:A,COLABS!F:F,"")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F5888-57F9-422A-8118-6B5BFFFA58AE}">
  <sheetPr codeName="Planilha1"/>
  <dimension ref="A1:K327"/>
  <sheetViews>
    <sheetView tabSelected="1" workbookViewId="0">
      <selection activeCell="E13" sqref="E13"/>
    </sheetView>
  </sheetViews>
  <sheetFormatPr defaultRowHeight="14.4" x14ac:dyDescent="0.3"/>
  <cols>
    <col min="1" max="1" width="44.33203125" customWidth="1"/>
    <col min="2" max="2" width="8" customWidth="1"/>
    <col min="3" max="3" width="15.6640625" bestFit="1" customWidth="1"/>
    <col min="4" max="4" width="15.77734375" style="10" bestFit="1" customWidth="1"/>
    <col min="5" max="5" width="17.44140625" customWidth="1"/>
    <col min="6" max="6" width="19.33203125" customWidth="1"/>
    <col min="7" max="7" width="14.21875" customWidth="1"/>
    <col min="8" max="8" width="17.33203125" bestFit="1" customWidth="1"/>
    <col min="9" max="9" width="9.21875" bestFit="1" customWidth="1"/>
    <col min="10" max="10" width="9" bestFit="1" customWidth="1"/>
    <col min="11" max="11" width="49.5546875" bestFit="1" customWidth="1"/>
    <col min="12" max="12" width="35.5546875" bestFit="1" customWidth="1"/>
  </cols>
  <sheetData>
    <row r="1" spans="1:11" x14ac:dyDescent="0.3">
      <c r="A1" s="4" t="s">
        <v>88</v>
      </c>
      <c r="B1" s="5" t="s">
        <v>1</v>
      </c>
      <c r="C1" s="5" t="s">
        <v>2</v>
      </c>
      <c r="D1" s="5" t="s">
        <v>82</v>
      </c>
      <c r="E1" t="s">
        <v>87</v>
      </c>
      <c r="F1" t="s">
        <v>95</v>
      </c>
      <c r="G1" t="s">
        <v>79</v>
      </c>
      <c r="H1" t="s">
        <v>94</v>
      </c>
      <c r="I1" t="s">
        <v>90</v>
      </c>
      <c r="J1" t="s">
        <v>81</v>
      </c>
      <c r="K1" t="s">
        <v>360</v>
      </c>
    </row>
    <row r="2" spans="1:11" x14ac:dyDescent="0.3">
      <c r="A2" s="3" t="s">
        <v>41</v>
      </c>
      <c r="B2" s="2">
        <v>2617528</v>
      </c>
      <c r="C2" s="2">
        <v>92008342</v>
      </c>
      <c r="D2" s="2" t="s">
        <v>83</v>
      </c>
      <c r="E2" t="s">
        <v>68</v>
      </c>
      <c r="F2" t="s">
        <v>358</v>
      </c>
      <c r="G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" t="s">
        <v>91</v>
      </c>
      <c r="J2">
        <v>0</v>
      </c>
      <c r="K2" t="str">
        <f>Tabela2[[#This Row],[Nome_Colaborador]]&amp;";"</f>
        <v>ANA CRISTINA DE JESUS MACEDO DE FREITAS;</v>
      </c>
    </row>
    <row r="3" spans="1:11" x14ac:dyDescent="0.3">
      <c r="A3" s="3" t="s">
        <v>7</v>
      </c>
      <c r="B3" s="2">
        <v>3349716</v>
      </c>
      <c r="C3" s="2">
        <v>92008184</v>
      </c>
      <c r="D3" s="2" t="s">
        <v>83</v>
      </c>
      <c r="E3" t="s">
        <v>68</v>
      </c>
      <c r="F3" t="s">
        <v>358</v>
      </c>
      <c r="G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" t="s">
        <v>91</v>
      </c>
      <c r="J3">
        <v>0</v>
      </c>
      <c r="K3" t="str">
        <f>Tabela2[[#This Row],[Nome_Colaborador]]&amp;";"</f>
        <v>ANDRIELLE FERNANDES;</v>
      </c>
    </row>
    <row r="4" spans="1:11" x14ac:dyDescent="0.3">
      <c r="A4" s="3" t="s">
        <v>93</v>
      </c>
      <c r="B4" s="2">
        <v>4087208</v>
      </c>
      <c r="C4" s="2">
        <v>92011573</v>
      </c>
      <c r="D4" s="2" t="s">
        <v>83</v>
      </c>
      <c r="E4" t="s">
        <v>68</v>
      </c>
      <c r="F4" t="s">
        <v>358</v>
      </c>
      <c r="G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H4" s="11"/>
      <c r="I4" t="s">
        <v>91</v>
      </c>
      <c r="J4">
        <v>0</v>
      </c>
      <c r="K4" t="str">
        <f>Tabela2[[#This Row],[Nome_Colaborador]]&amp;";"</f>
        <v>ANNA SARAH GOMES MACENA DA SIVA;</v>
      </c>
    </row>
    <row r="5" spans="1:11" x14ac:dyDescent="0.3">
      <c r="A5" s="3" t="s">
        <v>43</v>
      </c>
      <c r="B5" s="2">
        <v>991607</v>
      </c>
      <c r="C5" s="2">
        <v>92005579</v>
      </c>
      <c r="D5" s="2" t="s">
        <v>83</v>
      </c>
      <c r="E5" t="s">
        <v>68</v>
      </c>
      <c r="F5" t="s">
        <v>358</v>
      </c>
      <c r="G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" t="s">
        <v>91</v>
      </c>
      <c r="J5">
        <v>0</v>
      </c>
      <c r="K5" t="str">
        <f>Tabela2[[#This Row],[Nome_Colaborador]]&amp;";"</f>
        <v>CELSO GEFFER;</v>
      </c>
    </row>
    <row r="6" spans="1:11" x14ac:dyDescent="0.3">
      <c r="A6" s="3" t="s">
        <v>44</v>
      </c>
      <c r="B6" s="2">
        <v>2741461</v>
      </c>
      <c r="C6" s="2">
        <v>92007473</v>
      </c>
      <c r="D6" s="2" t="s">
        <v>83</v>
      </c>
      <c r="E6" t="s">
        <v>68</v>
      </c>
      <c r="F6" t="s">
        <v>358</v>
      </c>
      <c r="G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H6" s="11"/>
      <c r="I6" t="s">
        <v>91</v>
      </c>
      <c r="J6">
        <v>0</v>
      </c>
      <c r="K6" t="str">
        <f>Tabela2[[#This Row],[Nome_Colaborador]]&amp;";"</f>
        <v>CRISTINA ALVES SCHNABEL;</v>
      </c>
    </row>
    <row r="7" spans="1:11" x14ac:dyDescent="0.3">
      <c r="A7" s="3" t="s">
        <v>42</v>
      </c>
      <c r="B7" s="2">
        <v>2618027</v>
      </c>
      <c r="C7" s="2">
        <v>92011793</v>
      </c>
      <c r="D7" s="2" t="s">
        <v>83</v>
      </c>
      <c r="E7" t="s">
        <v>68</v>
      </c>
      <c r="F7" t="s">
        <v>358</v>
      </c>
      <c r="G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7" t="s">
        <v>91</v>
      </c>
      <c r="J7">
        <v>0</v>
      </c>
      <c r="K7" t="str">
        <f>Tabela2[[#This Row],[Nome_Colaborador]]&amp;";"</f>
        <v>DAIANE PRISCILA SAIVISCH;</v>
      </c>
    </row>
    <row r="8" spans="1:11" x14ac:dyDescent="0.3">
      <c r="A8" s="3" t="s">
        <v>60</v>
      </c>
      <c r="B8" s="2">
        <v>3298339</v>
      </c>
      <c r="C8" s="2">
        <v>92008102</v>
      </c>
      <c r="D8" s="2" t="s">
        <v>83</v>
      </c>
      <c r="E8" t="s">
        <v>68</v>
      </c>
      <c r="F8" t="s">
        <v>358</v>
      </c>
      <c r="G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8" t="s">
        <v>91</v>
      </c>
      <c r="J8">
        <v>0</v>
      </c>
      <c r="K8" t="str">
        <f>Tabela2[[#This Row],[Nome_Colaborador]]&amp;";"</f>
        <v>KAROLINE RODRIGUES KURTEN;</v>
      </c>
    </row>
    <row r="9" spans="1:11" x14ac:dyDescent="0.3">
      <c r="A9" s="3" t="s">
        <v>10</v>
      </c>
      <c r="B9" s="2">
        <v>3884540</v>
      </c>
      <c r="C9" s="2">
        <v>92011291</v>
      </c>
      <c r="D9" s="2" t="s">
        <v>83</v>
      </c>
      <c r="E9" t="s">
        <v>70</v>
      </c>
      <c r="F9" t="s">
        <v>358</v>
      </c>
      <c r="G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FÉRIAS</v>
      </c>
      <c r="H9" s="11">
        <v>45324</v>
      </c>
      <c r="I9" t="s">
        <v>92</v>
      </c>
      <c r="J9">
        <v>0</v>
      </c>
      <c r="K9" t="str">
        <f>Tabela2[[#This Row],[Nome_Colaborador]]&amp;";"</f>
        <v>ANA PAULA PIMENTEL SOARES MOCHNACZ;</v>
      </c>
    </row>
    <row r="10" spans="1:11" x14ac:dyDescent="0.3">
      <c r="A10" s="3" t="s">
        <v>45</v>
      </c>
      <c r="B10" s="2">
        <v>3621176</v>
      </c>
      <c r="C10" s="2">
        <v>92008304</v>
      </c>
      <c r="D10" s="2" t="s">
        <v>83</v>
      </c>
      <c r="E10" t="s">
        <v>68</v>
      </c>
      <c r="F10" t="s">
        <v>358</v>
      </c>
      <c r="G1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10" t="s">
        <v>91</v>
      </c>
      <c r="J10">
        <v>0</v>
      </c>
      <c r="K10" t="str">
        <f>Tabela2[[#This Row],[Nome_Colaborador]]&amp;";"</f>
        <v>REBECA SOARES FERREIRA;</v>
      </c>
    </row>
    <row r="11" spans="1:11" x14ac:dyDescent="0.3">
      <c r="A11" s="3" t="s">
        <v>8</v>
      </c>
      <c r="B11" s="2">
        <v>3846777</v>
      </c>
      <c r="C11" s="2">
        <v>91011210</v>
      </c>
      <c r="D11" s="2" t="s">
        <v>83</v>
      </c>
      <c r="E11" t="s">
        <v>68</v>
      </c>
      <c r="F11" t="s">
        <v>358</v>
      </c>
      <c r="G1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11" t="s">
        <v>91</v>
      </c>
      <c r="J11">
        <v>0</v>
      </c>
      <c r="K11" t="str">
        <f>Tabela2[[#This Row],[Nome_Colaborador]]&amp;";"</f>
        <v>THIAGO WILLIAN BORGES OLIVEIRA;</v>
      </c>
    </row>
    <row r="12" spans="1:11" x14ac:dyDescent="0.3">
      <c r="A12" s="3" t="s">
        <v>23</v>
      </c>
      <c r="B12" s="2">
        <v>4587054</v>
      </c>
      <c r="C12" s="2">
        <v>92012898</v>
      </c>
      <c r="D12" s="2" t="s">
        <v>89</v>
      </c>
      <c r="E12" t="s">
        <v>78</v>
      </c>
      <c r="F12" t="s">
        <v>359</v>
      </c>
      <c r="G1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12" t="s">
        <v>91</v>
      </c>
      <c r="J12">
        <v>0</v>
      </c>
      <c r="K12" t="str">
        <f>Tabela2[[#This Row],[Nome_Colaborador]]&amp;";"</f>
        <v>ADRIANE FERREIRA DOS SANTOS;</v>
      </c>
    </row>
    <row r="13" spans="1:11" x14ac:dyDescent="0.3">
      <c r="A13" s="3" t="s">
        <v>19</v>
      </c>
      <c r="B13" s="2">
        <v>4536657</v>
      </c>
      <c r="C13" s="2">
        <v>92012732</v>
      </c>
      <c r="D13" s="2" t="s">
        <v>89</v>
      </c>
      <c r="E13" t="s">
        <v>78</v>
      </c>
      <c r="F13" t="s">
        <v>359</v>
      </c>
      <c r="G1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13" t="s">
        <v>91</v>
      </c>
      <c r="J13">
        <v>0</v>
      </c>
      <c r="K13" t="str">
        <f>Tabela2[[#This Row],[Nome_Colaborador]]&amp;";"</f>
        <v>ANTONIO CARLOS ALVES PINHEIRO;</v>
      </c>
    </row>
    <row r="14" spans="1:11" x14ac:dyDescent="0.3">
      <c r="A14" s="3" t="s">
        <v>21</v>
      </c>
      <c r="B14" s="2">
        <v>4584870</v>
      </c>
      <c r="C14" s="2">
        <v>92012895</v>
      </c>
      <c r="D14" s="2" t="s">
        <v>89</v>
      </c>
      <c r="E14" t="s">
        <v>78</v>
      </c>
      <c r="F14" t="s">
        <v>359</v>
      </c>
      <c r="G1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14" t="s">
        <v>91</v>
      </c>
      <c r="J14">
        <v>0</v>
      </c>
      <c r="K14" t="str">
        <f>Tabela2[[#This Row],[Nome_Colaborador]]&amp;";"</f>
        <v>DALINE VIEIRA DE MOURA LISBOA;</v>
      </c>
    </row>
    <row r="15" spans="1:11" x14ac:dyDescent="0.3">
      <c r="A15" s="3" t="s">
        <v>63</v>
      </c>
      <c r="B15" s="2">
        <v>3296511</v>
      </c>
      <c r="C15" s="2">
        <v>92012949</v>
      </c>
      <c r="D15" s="2" t="s">
        <v>89</v>
      </c>
      <c r="E15" t="s">
        <v>78</v>
      </c>
      <c r="F15" t="s">
        <v>359</v>
      </c>
      <c r="G1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15" t="s">
        <v>91</v>
      </c>
      <c r="J15">
        <v>0</v>
      </c>
      <c r="K15" t="str">
        <f>Tabela2[[#This Row],[Nome_Colaborador]]&amp;";"</f>
        <v>NATASHA DE LIMA DO NASCIMENTO;</v>
      </c>
    </row>
    <row r="16" spans="1:11" x14ac:dyDescent="0.3">
      <c r="A16" s="3" t="s">
        <v>57</v>
      </c>
      <c r="B16" s="2">
        <v>3634331</v>
      </c>
      <c r="C16" s="2">
        <v>92011963</v>
      </c>
      <c r="D16" s="2" t="s">
        <v>83</v>
      </c>
      <c r="E16" t="s">
        <v>71</v>
      </c>
      <c r="F16" t="s">
        <v>358</v>
      </c>
      <c r="G1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FÉRIAS</v>
      </c>
      <c r="I16" t="s">
        <v>91</v>
      </c>
      <c r="J16">
        <v>0</v>
      </c>
      <c r="K16" t="str">
        <f>Tabela2[[#This Row],[Nome_Colaborador]]&amp;";"</f>
        <v>CARLA SUSAN SANTOS DE SOUZA;</v>
      </c>
    </row>
    <row r="17" spans="1:11" x14ac:dyDescent="0.3">
      <c r="A17" s="3" t="s">
        <v>3</v>
      </c>
      <c r="B17" s="2">
        <v>1137247</v>
      </c>
      <c r="C17" s="2">
        <v>92012931</v>
      </c>
      <c r="D17" s="2" t="s">
        <v>89</v>
      </c>
      <c r="E17" t="s">
        <v>78</v>
      </c>
      <c r="F17" t="s">
        <v>359</v>
      </c>
      <c r="G1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17" t="s">
        <v>91</v>
      </c>
      <c r="J17">
        <v>0</v>
      </c>
      <c r="K17" t="str">
        <f>Tabela2[[#This Row],[Nome_Colaborador]]&amp;";"</f>
        <v>PAULA ARIELI CARVALHO BORGES;</v>
      </c>
    </row>
    <row r="18" spans="1:11" x14ac:dyDescent="0.3">
      <c r="A18" s="3" t="s">
        <v>22</v>
      </c>
      <c r="B18" s="2">
        <v>4587055</v>
      </c>
      <c r="C18" s="2">
        <v>92012900</v>
      </c>
      <c r="D18" s="2" t="s">
        <v>89</v>
      </c>
      <c r="E18" t="s">
        <v>78</v>
      </c>
      <c r="F18" t="s">
        <v>359</v>
      </c>
      <c r="G1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18" t="s">
        <v>91</v>
      </c>
      <c r="J18">
        <v>0</v>
      </c>
      <c r="K18" t="str">
        <f>Tabela2[[#This Row],[Nome_Colaborador]]&amp;";"</f>
        <v>WALBER JEFFERSON GONCALVES;</v>
      </c>
    </row>
    <row r="19" spans="1:11" x14ac:dyDescent="0.3">
      <c r="A19" s="3" t="s">
        <v>51</v>
      </c>
      <c r="B19" s="1">
        <v>4289856</v>
      </c>
      <c r="C19" s="1">
        <v>92012224</v>
      </c>
      <c r="D19" s="2" t="s">
        <v>83</v>
      </c>
      <c r="E19" t="s">
        <v>70</v>
      </c>
      <c r="F19" t="s">
        <v>358</v>
      </c>
      <c r="G1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H19" s="11"/>
      <c r="I19" t="s">
        <v>91</v>
      </c>
      <c r="J19">
        <v>0</v>
      </c>
      <c r="K19" t="str">
        <f>Tabela2[[#This Row],[Nome_Colaborador]]&amp;";"</f>
        <v>ANA PAULA FERREIRA;</v>
      </c>
    </row>
    <row r="20" spans="1:11" x14ac:dyDescent="0.3">
      <c r="A20" s="3" t="s">
        <v>47</v>
      </c>
      <c r="B20" s="2">
        <v>4121209</v>
      </c>
      <c r="C20" s="2">
        <v>92011696</v>
      </c>
      <c r="D20" s="2" t="s">
        <v>83</v>
      </c>
      <c r="E20" t="s">
        <v>70</v>
      </c>
      <c r="F20" t="s">
        <v>358</v>
      </c>
      <c r="G2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0" t="s">
        <v>91</v>
      </c>
      <c r="J20">
        <v>0</v>
      </c>
      <c r="K20" t="str">
        <f>Tabela2[[#This Row],[Nome_Colaborador]]&amp;";"</f>
        <v>CIBELE CRISTINA DA SILVA COSTA;</v>
      </c>
    </row>
    <row r="21" spans="1:11" x14ac:dyDescent="0.3">
      <c r="A21" s="3" t="s">
        <v>58</v>
      </c>
      <c r="B21" s="2">
        <v>4222130</v>
      </c>
      <c r="C21" s="2">
        <v>92012236</v>
      </c>
      <c r="D21" s="2" t="s">
        <v>83</v>
      </c>
      <c r="E21" t="s">
        <v>70</v>
      </c>
      <c r="F21" t="s">
        <v>358</v>
      </c>
      <c r="G2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H21" s="11"/>
      <c r="I21" t="s">
        <v>91</v>
      </c>
      <c r="J21">
        <v>0</v>
      </c>
      <c r="K21" t="str">
        <f>Tabela2[[#This Row],[Nome_Colaborador]]&amp;";"</f>
        <v>LETICIA MINOSSO CARVALHO;</v>
      </c>
    </row>
    <row r="22" spans="1:11" x14ac:dyDescent="0.3">
      <c r="A22" s="3" t="s">
        <v>52</v>
      </c>
      <c r="B22" s="1">
        <v>4121211</v>
      </c>
      <c r="C22" s="1">
        <v>92011700</v>
      </c>
      <c r="D22" s="2" t="s">
        <v>83</v>
      </c>
      <c r="E22" t="s">
        <v>70</v>
      </c>
      <c r="F22" t="s">
        <v>358</v>
      </c>
      <c r="G2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2" t="s">
        <v>91</v>
      </c>
      <c r="J22">
        <v>0</v>
      </c>
      <c r="K22" t="str">
        <f>Tabela2[[#This Row],[Nome_Colaborador]]&amp;";"</f>
        <v>SUELEN SAMPAIO DA COSTA;</v>
      </c>
    </row>
    <row r="23" spans="1:11" x14ac:dyDescent="0.3">
      <c r="A23" s="3" t="s">
        <v>66</v>
      </c>
      <c r="B23" s="2">
        <v>4630020</v>
      </c>
      <c r="C23" s="2">
        <v>92013115</v>
      </c>
      <c r="D23" s="2" t="s">
        <v>83</v>
      </c>
      <c r="E23" t="s">
        <v>70</v>
      </c>
      <c r="F23" t="s">
        <v>358</v>
      </c>
      <c r="G2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3" t="s">
        <v>91</v>
      </c>
      <c r="J23">
        <v>0</v>
      </c>
      <c r="K23" t="str">
        <f>Tabela2[[#This Row],[Nome_Colaborador]]&amp;";"</f>
        <v>TATIANE MARIA DALCIM ANTUNES;</v>
      </c>
    </row>
    <row r="24" spans="1:11" x14ac:dyDescent="0.3">
      <c r="A24" s="3" t="s">
        <v>4</v>
      </c>
      <c r="B24" s="2">
        <v>4380514</v>
      </c>
      <c r="C24" s="2">
        <v>92012681</v>
      </c>
      <c r="D24" s="2" t="s">
        <v>83</v>
      </c>
      <c r="E24" t="s">
        <v>70</v>
      </c>
      <c r="F24" t="s">
        <v>358</v>
      </c>
      <c r="G2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4" t="s">
        <v>91</v>
      </c>
      <c r="J24">
        <v>0</v>
      </c>
      <c r="K24" t="str">
        <f>Tabela2[[#This Row],[Nome_Colaborador]]&amp;";"</f>
        <v>FRANCISCA GOMES COUTINHO;</v>
      </c>
    </row>
    <row r="25" spans="1:11" x14ac:dyDescent="0.3">
      <c r="A25" s="3" t="s">
        <v>24</v>
      </c>
      <c r="B25" s="2">
        <v>4587056</v>
      </c>
      <c r="C25" s="2">
        <v>92012901</v>
      </c>
      <c r="D25" s="2" t="s">
        <v>83</v>
      </c>
      <c r="E25" t="s">
        <v>71</v>
      </c>
      <c r="F25" t="s">
        <v>358</v>
      </c>
      <c r="G2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5" t="s">
        <v>91</v>
      </c>
      <c r="J25">
        <v>0</v>
      </c>
      <c r="K25" t="str">
        <f>Tabela2[[#This Row],[Nome_Colaborador]]&amp;";"</f>
        <v>ALEXANDRE SILVEIRA;</v>
      </c>
    </row>
    <row r="26" spans="1:11" x14ac:dyDescent="0.3">
      <c r="A26" s="3" t="s">
        <v>9</v>
      </c>
      <c r="B26" s="1">
        <v>4141210</v>
      </c>
      <c r="C26" s="1">
        <v>92011698</v>
      </c>
      <c r="D26" s="2" t="s">
        <v>83</v>
      </c>
      <c r="E26" t="s">
        <v>71</v>
      </c>
      <c r="F26" t="s">
        <v>358</v>
      </c>
      <c r="G2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6" t="s">
        <v>91</v>
      </c>
      <c r="J26">
        <v>0</v>
      </c>
      <c r="K26" t="str">
        <f>Tabela2[[#This Row],[Nome_Colaborador]]&amp;";"</f>
        <v>FABIANO TEMISKI MUNIZ;</v>
      </c>
    </row>
    <row r="27" spans="1:11" x14ac:dyDescent="0.3">
      <c r="A27" s="3" t="s">
        <v>30</v>
      </c>
      <c r="B27" s="2">
        <v>4633013</v>
      </c>
      <c r="C27" s="2">
        <v>92013032</v>
      </c>
      <c r="D27" s="2" t="s">
        <v>83</v>
      </c>
      <c r="E27" t="s">
        <v>71</v>
      </c>
      <c r="F27" t="s">
        <v>358</v>
      </c>
      <c r="G2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7" t="s">
        <v>91</v>
      </c>
      <c r="J27">
        <v>0</v>
      </c>
      <c r="K27" t="str">
        <f>Tabela2[[#This Row],[Nome_Colaborador]]&amp;";"</f>
        <v>MANOEL FELIPE DA CRUZ;</v>
      </c>
    </row>
    <row r="28" spans="1:11" x14ac:dyDescent="0.3">
      <c r="A28" s="3" t="s">
        <v>56</v>
      </c>
      <c r="B28" s="2">
        <v>1955313</v>
      </c>
      <c r="C28" s="2">
        <v>92006709</v>
      </c>
      <c r="D28" s="2" t="s">
        <v>83</v>
      </c>
      <c r="E28" t="s">
        <v>71</v>
      </c>
      <c r="F28" t="s">
        <v>358</v>
      </c>
      <c r="G2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8" t="s">
        <v>91</v>
      </c>
      <c r="J28">
        <v>0</v>
      </c>
      <c r="K28" t="str">
        <f>Tabela2[[#This Row],[Nome_Colaborador]]&amp;";"</f>
        <v>RAFAEL DOS SANTOS ALMEIDA OLIVEIRA;</v>
      </c>
    </row>
    <row r="29" spans="1:11" x14ac:dyDescent="0.3">
      <c r="A29" s="3" t="s">
        <v>62</v>
      </c>
      <c r="B29" s="2">
        <v>3520535</v>
      </c>
      <c r="C29" s="2">
        <v>92012726</v>
      </c>
      <c r="D29" s="2" t="s">
        <v>83</v>
      </c>
      <c r="E29" t="s">
        <v>71</v>
      </c>
      <c r="F29" t="s">
        <v>358</v>
      </c>
      <c r="G2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29" t="s">
        <v>91</v>
      </c>
      <c r="J29">
        <v>0</v>
      </c>
      <c r="K29" t="str">
        <f>Tabela2[[#This Row],[Nome_Colaborador]]&amp;";"</f>
        <v>THIAGO VICENTE GONZAGA PONTES;</v>
      </c>
    </row>
    <row r="30" spans="1:11" x14ac:dyDescent="0.3">
      <c r="A30" s="3" t="s">
        <v>26</v>
      </c>
      <c r="B30" s="2">
        <v>4597098</v>
      </c>
      <c r="C30" s="2">
        <v>92012938</v>
      </c>
      <c r="D30" s="2" t="s">
        <v>83</v>
      </c>
      <c r="E30" t="s">
        <v>72</v>
      </c>
      <c r="F30" t="s">
        <v>358</v>
      </c>
      <c r="G3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0" t="s">
        <v>91</v>
      </c>
      <c r="J30">
        <v>0</v>
      </c>
      <c r="K30" t="str">
        <f>Tabela2[[#This Row],[Nome_Colaborador]]&amp;";"</f>
        <v>ALEXANDRE CUARTES DA SILVA;</v>
      </c>
    </row>
    <row r="31" spans="1:11" x14ac:dyDescent="0.3">
      <c r="A31" s="3" t="s">
        <v>48</v>
      </c>
      <c r="B31" s="2">
        <v>3649114</v>
      </c>
      <c r="C31" s="2">
        <v>92008336</v>
      </c>
      <c r="D31" s="2" t="s">
        <v>83</v>
      </c>
      <c r="E31" t="s">
        <v>72</v>
      </c>
      <c r="F31" t="s">
        <v>358</v>
      </c>
      <c r="G3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1" t="s">
        <v>91</v>
      </c>
      <c r="J31">
        <v>0</v>
      </c>
      <c r="K31" t="str">
        <f>Tabela2[[#This Row],[Nome_Colaborador]]&amp;";"</f>
        <v>ALINE APARECIDA DE ANDRADE;</v>
      </c>
    </row>
    <row r="32" spans="1:11" x14ac:dyDescent="0.3">
      <c r="A32" s="3" t="s">
        <v>29</v>
      </c>
      <c r="B32" s="2">
        <v>4632509</v>
      </c>
      <c r="C32" s="2">
        <v>92013027</v>
      </c>
      <c r="D32" s="2" t="s">
        <v>83</v>
      </c>
      <c r="E32" t="s">
        <v>72</v>
      </c>
      <c r="F32" t="s">
        <v>358</v>
      </c>
      <c r="G3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2" t="s">
        <v>91</v>
      </c>
      <c r="J32">
        <v>0</v>
      </c>
      <c r="K32" t="str">
        <f>Tabela2[[#This Row],[Nome_Colaborador]]&amp;";"</f>
        <v>MICHELLE CRISTINA DE CAMARGO COUTINHO;</v>
      </c>
    </row>
    <row r="33" spans="1:11" x14ac:dyDescent="0.3">
      <c r="A33" s="3" t="s">
        <v>12</v>
      </c>
      <c r="B33" s="1">
        <v>4536580</v>
      </c>
      <c r="C33" s="1">
        <v>92012727</v>
      </c>
      <c r="D33" s="2" t="s">
        <v>83</v>
      </c>
      <c r="E33" t="s">
        <v>72</v>
      </c>
      <c r="F33" t="s">
        <v>358</v>
      </c>
      <c r="G3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3" t="s">
        <v>91</v>
      </c>
      <c r="J33">
        <v>0</v>
      </c>
      <c r="K33" t="str">
        <f>Tabela2[[#This Row],[Nome_Colaborador]]&amp;";"</f>
        <v>THACIANE APARECIDA OTKA;</v>
      </c>
    </row>
    <row r="34" spans="1:11" x14ac:dyDescent="0.3">
      <c r="A34" s="3" t="s">
        <v>54</v>
      </c>
      <c r="B34" s="1">
        <v>3662631</v>
      </c>
      <c r="C34" s="1">
        <v>92008343</v>
      </c>
      <c r="D34" s="2" t="s">
        <v>83</v>
      </c>
      <c r="E34" t="s">
        <v>72</v>
      </c>
      <c r="F34" t="s">
        <v>358</v>
      </c>
      <c r="G3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4" t="s">
        <v>91</v>
      </c>
      <c r="J34">
        <v>0</v>
      </c>
      <c r="K34" t="str">
        <f>Tabela2[[#This Row],[Nome_Colaborador]]&amp;";"</f>
        <v>THAINA LARISSA PEREIRA DA SILVA;</v>
      </c>
    </row>
    <row r="35" spans="1:11" x14ac:dyDescent="0.3">
      <c r="A35" s="3" t="s">
        <v>11</v>
      </c>
      <c r="B35" s="1">
        <v>4301622</v>
      </c>
      <c r="C35" s="1">
        <v>92012555</v>
      </c>
      <c r="D35" s="2" t="s">
        <v>83</v>
      </c>
      <c r="E35" t="s">
        <v>72</v>
      </c>
      <c r="F35" t="s">
        <v>358</v>
      </c>
      <c r="G3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5" t="s">
        <v>91</v>
      </c>
      <c r="J35">
        <v>0</v>
      </c>
      <c r="K35" t="str">
        <f>Tabela2[[#This Row],[Nome_Colaborador]]&amp;";"</f>
        <v>VINICIOS HENRARD;</v>
      </c>
    </row>
    <row r="36" spans="1:11" x14ac:dyDescent="0.3">
      <c r="A36" s="3" t="s">
        <v>28</v>
      </c>
      <c r="B36" s="2">
        <v>4610759</v>
      </c>
      <c r="C36" s="2">
        <v>92012975</v>
      </c>
      <c r="D36" s="2" t="s">
        <v>83</v>
      </c>
      <c r="E36" t="s">
        <v>72</v>
      </c>
      <c r="F36" t="s">
        <v>358</v>
      </c>
      <c r="G3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6" t="s">
        <v>91</v>
      </c>
      <c r="J36">
        <v>0</v>
      </c>
      <c r="K36" t="str">
        <f>Tabela2[[#This Row],[Nome_Colaborador]]&amp;";"</f>
        <v>WILLIAN PEDROSO DO ROSARIO;</v>
      </c>
    </row>
    <row r="37" spans="1:11" x14ac:dyDescent="0.3">
      <c r="A37" s="3" t="s">
        <v>16</v>
      </c>
      <c r="B37" s="2">
        <v>4515117</v>
      </c>
      <c r="C37" s="2">
        <v>92012655</v>
      </c>
      <c r="D37" s="2" t="s">
        <v>83</v>
      </c>
      <c r="E37" t="s">
        <v>73</v>
      </c>
      <c r="F37" t="s">
        <v>358</v>
      </c>
      <c r="G3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7" t="s">
        <v>91</v>
      </c>
      <c r="J37">
        <v>0</v>
      </c>
      <c r="K37" t="str">
        <f>Tabela2[[#This Row],[Nome_Colaborador]]&amp;";"</f>
        <v>ANA GABRIELE DA SILVA COSTA;</v>
      </c>
    </row>
    <row r="38" spans="1:11" x14ac:dyDescent="0.3">
      <c r="A38" s="3" t="s">
        <v>50</v>
      </c>
      <c r="B38" s="1">
        <v>2467852</v>
      </c>
      <c r="C38" s="1">
        <v>92008337</v>
      </c>
      <c r="D38" s="2" t="s">
        <v>83</v>
      </c>
      <c r="E38" t="s">
        <v>73</v>
      </c>
      <c r="F38" t="s">
        <v>358</v>
      </c>
      <c r="G3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8" t="s">
        <v>91</v>
      </c>
      <c r="J38">
        <v>0</v>
      </c>
      <c r="K38" t="str">
        <f>Tabela2[[#This Row],[Nome_Colaborador]]&amp;";"</f>
        <v>ANA PAULA DE SOUZA SEZRAIBER;</v>
      </c>
    </row>
    <row r="39" spans="1:11" x14ac:dyDescent="0.3">
      <c r="A39" s="3" t="s">
        <v>53</v>
      </c>
      <c r="B39" s="1">
        <v>1019460</v>
      </c>
      <c r="C39" s="1">
        <v>92008311</v>
      </c>
      <c r="D39" s="2" t="s">
        <v>83</v>
      </c>
      <c r="E39" t="s">
        <v>73</v>
      </c>
      <c r="F39" t="s">
        <v>358</v>
      </c>
      <c r="G3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39" t="s">
        <v>91</v>
      </c>
      <c r="J39">
        <v>0</v>
      </c>
      <c r="K39" t="str">
        <f>Tabela2[[#This Row],[Nome_Colaborador]]&amp;";"</f>
        <v>DANIELE DA SILVEIRA GUTSTEIN MASSAROTTO;</v>
      </c>
    </row>
    <row r="40" spans="1:11" x14ac:dyDescent="0.3">
      <c r="A40" s="3" t="s">
        <v>25</v>
      </c>
      <c r="B40" s="2">
        <v>4541029</v>
      </c>
      <c r="C40" s="2">
        <v>92012741</v>
      </c>
      <c r="D40" s="2" t="s">
        <v>83</v>
      </c>
      <c r="E40" t="s">
        <v>73</v>
      </c>
      <c r="F40" t="s">
        <v>358</v>
      </c>
      <c r="G4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40" t="s">
        <v>91</v>
      </c>
      <c r="J40">
        <v>0</v>
      </c>
      <c r="K40" t="str">
        <f>Tabela2[[#This Row],[Nome_Colaborador]]&amp;";"</f>
        <v>DAYANE NAYARA RUFINO LIMA;</v>
      </c>
    </row>
    <row r="41" spans="1:11" x14ac:dyDescent="0.3">
      <c r="A41" s="3" t="s">
        <v>18</v>
      </c>
      <c r="B41" s="2">
        <v>4536635</v>
      </c>
      <c r="C41" s="2">
        <v>92012728</v>
      </c>
      <c r="D41" s="2" t="s">
        <v>83</v>
      </c>
      <c r="E41" t="s">
        <v>73</v>
      </c>
      <c r="F41" t="s">
        <v>358</v>
      </c>
      <c r="G4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AFASTADO</v>
      </c>
      <c r="H41" s="11">
        <v>45334</v>
      </c>
      <c r="I41" t="s">
        <v>92</v>
      </c>
      <c r="J41">
        <v>0</v>
      </c>
      <c r="K41" t="str">
        <f>Tabela2[[#This Row],[Nome_Colaborador]]&amp;";"</f>
        <v>PATRICK WALLAN RODRIGUES SUTIL;</v>
      </c>
    </row>
    <row r="42" spans="1:11" x14ac:dyDescent="0.3">
      <c r="A42" s="3" t="s">
        <v>55</v>
      </c>
      <c r="B42" s="2">
        <v>1735459</v>
      </c>
      <c r="C42" s="2">
        <v>92008444</v>
      </c>
      <c r="D42" s="2" t="s">
        <v>83</v>
      </c>
      <c r="E42" t="s">
        <v>73</v>
      </c>
      <c r="F42" t="s">
        <v>358</v>
      </c>
      <c r="G4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H42" s="11"/>
      <c r="I42" t="s">
        <v>91</v>
      </c>
      <c r="J42">
        <v>0</v>
      </c>
      <c r="K42" t="str">
        <f>Tabela2[[#This Row],[Nome_Colaborador]]&amp;";"</f>
        <v>EVELYN GONCALVES DOS SANTOS FERREIRA;</v>
      </c>
    </row>
    <row r="43" spans="1:11" x14ac:dyDescent="0.3">
      <c r="A43" s="3" t="s">
        <v>17</v>
      </c>
      <c r="B43" s="2">
        <v>4536568</v>
      </c>
      <c r="C43" s="2">
        <v>92012731</v>
      </c>
      <c r="D43" s="2" t="s">
        <v>83</v>
      </c>
      <c r="E43" t="s">
        <v>73</v>
      </c>
      <c r="F43" t="s">
        <v>358</v>
      </c>
      <c r="G4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43" t="s">
        <v>91</v>
      </c>
      <c r="J43">
        <v>0</v>
      </c>
      <c r="K43" t="str">
        <f>Tabela2[[#This Row],[Nome_Colaborador]]&amp;";"</f>
        <v>LAERTES DE PAULA AFONSO JUNIOR;</v>
      </c>
    </row>
    <row r="44" spans="1:11" x14ac:dyDescent="0.3">
      <c r="A44" s="3" t="s">
        <v>14</v>
      </c>
      <c r="B44" s="1">
        <v>4515240</v>
      </c>
      <c r="C44" s="1">
        <v>92012678</v>
      </c>
      <c r="D44" s="1" t="s">
        <v>77</v>
      </c>
      <c r="E44" t="s">
        <v>86</v>
      </c>
      <c r="F44" t="s">
        <v>86</v>
      </c>
      <c r="G4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44" t="s">
        <v>92</v>
      </c>
      <c r="J44">
        <v>0</v>
      </c>
      <c r="K44" t="str">
        <f>Tabela2[[#This Row],[Nome_Colaborador]]&amp;";"</f>
        <v>BARBARA YUMI LEMOS KIKUCHI RIBEIRO;</v>
      </c>
    </row>
    <row r="45" spans="1:11" x14ac:dyDescent="0.3">
      <c r="A45" s="3" t="s">
        <v>36</v>
      </c>
      <c r="B45" s="2">
        <v>2418081</v>
      </c>
      <c r="C45" s="2">
        <v>92007206</v>
      </c>
      <c r="D45" s="2" t="s">
        <v>84</v>
      </c>
      <c r="E45" t="s">
        <v>86</v>
      </c>
      <c r="F45" t="s">
        <v>86</v>
      </c>
      <c r="G4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45" t="s">
        <v>92</v>
      </c>
      <c r="J45">
        <v>0</v>
      </c>
      <c r="K45" t="str">
        <f>Tabela2[[#This Row],[Nome_Colaborador]]&amp;";"</f>
        <v>CARLOS DANILO PACHECO;</v>
      </c>
    </row>
    <row r="46" spans="1:11" x14ac:dyDescent="0.3">
      <c r="A46" s="3" t="s">
        <v>37</v>
      </c>
      <c r="B46" s="2">
        <v>1571172</v>
      </c>
      <c r="C46" s="2">
        <v>92006310</v>
      </c>
      <c r="D46" s="2" t="s">
        <v>85</v>
      </c>
      <c r="E46" t="s">
        <v>86</v>
      </c>
      <c r="F46" t="s">
        <v>86</v>
      </c>
      <c r="G4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46" t="s">
        <v>92</v>
      </c>
      <c r="J46">
        <v>0</v>
      </c>
      <c r="K46" t="str">
        <f>Tabela2[[#This Row],[Nome_Colaborador]]&amp;";"</f>
        <v>LEANDRO CAVALCANTE LIMA;</v>
      </c>
    </row>
    <row r="47" spans="1:11" x14ac:dyDescent="0.3">
      <c r="A47" s="3" t="s">
        <v>5</v>
      </c>
      <c r="B47" s="2">
        <v>4462364</v>
      </c>
      <c r="C47" s="2">
        <v>92012672</v>
      </c>
      <c r="D47" s="2" t="s">
        <v>89</v>
      </c>
      <c r="E47" t="s">
        <v>78</v>
      </c>
      <c r="F47" t="s">
        <v>359</v>
      </c>
      <c r="G4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AFASTADO</v>
      </c>
      <c r="I47" t="s">
        <v>92</v>
      </c>
      <c r="J47">
        <v>0</v>
      </c>
      <c r="K47" t="str">
        <f>Tabela2[[#This Row],[Nome_Colaborador]]&amp;";"</f>
        <v>STEFANY DA SILVA GOMES;</v>
      </c>
    </row>
    <row r="48" spans="1:11" x14ac:dyDescent="0.3">
      <c r="A48" s="3" t="s">
        <v>32</v>
      </c>
      <c r="B48" s="2">
        <v>3255416</v>
      </c>
      <c r="C48" s="2">
        <v>92008041</v>
      </c>
      <c r="D48" s="2" t="s">
        <v>85</v>
      </c>
      <c r="E48" t="s">
        <v>86</v>
      </c>
      <c r="F48" t="s">
        <v>86</v>
      </c>
      <c r="G4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48" t="s">
        <v>92</v>
      </c>
      <c r="J48">
        <v>0</v>
      </c>
      <c r="K48" t="str">
        <f>Tabela2[[#This Row],[Nome_Colaborador]]&amp;";"</f>
        <v>LUIZ HENRIQUE NEUMANN DE FREITAS;</v>
      </c>
    </row>
    <row r="49" spans="1:11" x14ac:dyDescent="0.3">
      <c r="A49" s="3" t="s">
        <v>64</v>
      </c>
      <c r="B49" s="2">
        <v>702780</v>
      </c>
      <c r="C49" s="2">
        <v>92005589</v>
      </c>
      <c r="D49" s="2" t="s">
        <v>84</v>
      </c>
      <c r="E49" t="s">
        <v>86</v>
      </c>
      <c r="F49" t="s">
        <v>86</v>
      </c>
      <c r="G4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49" t="s">
        <v>92</v>
      </c>
      <c r="J49">
        <v>0</v>
      </c>
      <c r="K49" t="str">
        <f>Tabela2[[#This Row],[Nome_Colaborador]]&amp;";"</f>
        <v>MARINETE MARTIELHO SOARES;</v>
      </c>
    </row>
    <row r="50" spans="1:11" x14ac:dyDescent="0.3">
      <c r="A50" s="3" t="s">
        <v>33</v>
      </c>
      <c r="B50" s="2">
        <v>1201595</v>
      </c>
      <c r="C50" s="2">
        <v>92005623</v>
      </c>
      <c r="D50" s="2" t="s">
        <v>84</v>
      </c>
      <c r="E50" t="s">
        <v>86</v>
      </c>
      <c r="F50" t="s">
        <v>86</v>
      </c>
      <c r="G5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0" t="s">
        <v>92</v>
      </c>
      <c r="J50">
        <v>0</v>
      </c>
      <c r="K50" t="str">
        <f>Tabela2[[#This Row],[Nome_Colaborador]]&amp;";"</f>
        <v>ROBSON OLIVEIRA SOUZA;</v>
      </c>
    </row>
    <row r="51" spans="1:11" x14ac:dyDescent="0.3">
      <c r="A51" s="3" t="s">
        <v>38</v>
      </c>
      <c r="B51" s="2">
        <v>1602629</v>
      </c>
      <c r="C51" s="2">
        <v>92006388</v>
      </c>
      <c r="D51" s="2" t="s">
        <v>84</v>
      </c>
      <c r="E51" t="s">
        <v>86</v>
      </c>
      <c r="F51" t="s">
        <v>86</v>
      </c>
      <c r="G5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1" t="s">
        <v>92</v>
      </c>
      <c r="J51">
        <v>0</v>
      </c>
      <c r="K51" t="str">
        <f>Tabela2[[#This Row],[Nome_Colaborador]]&amp;";"</f>
        <v>VICTOR HUGO ZANELLA DIAS;</v>
      </c>
    </row>
    <row r="52" spans="1:11" x14ac:dyDescent="0.3">
      <c r="A52" s="3" t="s">
        <v>34</v>
      </c>
      <c r="B52" s="2">
        <v>3773606</v>
      </c>
      <c r="C52" s="2">
        <v>92008450</v>
      </c>
      <c r="D52" s="1" t="s">
        <v>77</v>
      </c>
      <c r="E52" t="s">
        <v>86</v>
      </c>
      <c r="F52" t="s">
        <v>86</v>
      </c>
      <c r="G5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2" t="s">
        <v>92</v>
      </c>
      <c r="J52">
        <v>0</v>
      </c>
      <c r="K52" t="str">
        <f>Tabela2[[#This Row],[Nome_Colaborador]]&amp;";"</f>
        <v>VINICIUS EDUARDO BARAUSE;</v>
      </c>
    </row>
    <row r="53" spans="1:11" x14ac:dyDescent="0.3">
      <c r="A53" s="3" t="s">
        <v>6</v>
      </c>
      <c r="B53" s="2">
        <v>4515049</v>
      </c>
      <c r="C53" s="2">
        <v>92012663</v>
      </c>
      <c r="D53" s="10" t="s">
        <v>67</v>
      </c>
      <c r="E53" t="s">
        <v>86</v>
      </c>
      <c r="F53" t="s">
        <v>358</v>
      </c>
      <c r="G5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3" t="s">
        <v>92</v>
      </c>
      <c r="J53">
        <v>0</v>
      </c>
      <c r="K53" s="21" t="str">
        <f>Tabela2[[#This Row],[Nome_Colaborador]]&amp;";"</f>
        <v>ADOILSON LIMA DO NASCIMENTO;</v>
      </c>
    </row>
    <row r="54" spans="1:11" x14ac:dyDescent="0.3">
      <c r="A54" s="3" t="s">
        <v>46</v>
      </c>
      <c r="B54" s="2">
        <v>405923</v>
      </c>
      <c r="C54" s="2">
        <v>92011921</v>
      </c>
      <c r="D54" s="10" t="s">
        <v>67</v>
      </c>
      <c r="E54" t="s">
        <v>86</v>
      </c>
      <c r="F54" t="s">
        <v>358</v>
      </c>
      <c r="G5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4" t="s">
        <v>92</v>
      </c>
      <c r="J54">
        <v>0</v>
      </c>
      <c r="K54" s="21" t="str">
        <f>Tabela2[[#This Row],[Nome_Colaborador]]&amp;";"</f>
        <v>ANGELYCA FRANÇA DE OLIVEIRA;</v>
      </c>
    </row>
    <row r="55" spans="1:11" x14ac:dyDescent="0.3">
      <c r="A55" s="3" t="s">
        <v>39</v>
      </c>
      <c r="B55" s="2">
        <v>4653245</v>
      </c>
      <c r="C55" s="2">
        <v>92013089</v>
      </c>
      <c r="D55" s="10" t="s">
        <v>67</v>
      </c>
      <c r="E55" t="s">
        <v>86</v>
      </c>
      <c r="F55" t="s">
        <v>358</v>
      </c>
      <c r="G5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5" t="s">
        <v>92</v>
      </c>
      <c r="J55">
        <v>0</v>
      </c>
      <c r="K55" s="21" t="str">
        <f>Tabela2[[#This Row],[Nome_Colaborador]]&amp;";"</f>
        <v>ERICE RENATO NAVARROS OPIMI;</v>
      </c>
    </row>
    <row r="56" spans="1:11" x14ac:dyDescent="0.3">
      <c r="A56" s="3" t="s">
        <v>35</v>
      </c>
      <c r="B56" s="2">
        <v>4640635</v>
      </c>
      <c r="C56" s="2">
        <v>92013048</v>
      </c>
      <c r="D56" s="10" t="s">
        <v>67</v>
      </c>
      <c r="E56" t="s">
        <v>86</v>
      </c>
      <c r="F56" t="s">
        <v>358</v>
      </c>
      <c r="G5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6" t="s">
        <v>92</v>
      </c>
      <c r="J56">
        <v>0</v>
      </c>
      <c r="K56" s="21" t="str">
        <f>Tabela2[[#This Row],[Nome_Colaborador]]&amp;";"</f>
        <v>GENILSON FELICIO;</v>
      </c>
    </row>
    <row r="57" spans="1:11" x14ac:dyDescent="0.3">
      <c r="A57" s="3" t="s">
        <v>49</v>
      </c>
      <c r="B57" s="2">
        <v>3283952</v>
      </c>
      <c r="C57" s="2">
        <v>92011088</v>
      </c>
      <c r="D57" s="10" t="s">
        <v>67</v>
      </c>
      <c r="E57" t="s">
        <v>86</v>
      </c>
      <c r="F57" t="s">
        <v>358</v>
      </c>
      <c r="G5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7" t="s">
        <v>92</v>
      </c>
      <c r="J57">
        <v>0</v>
      </c>
      <c r="K57" s="21" t="str">
        <f>Tabela2[[#This Row],[Nome_Colaborador]]&amp;";"</f>
        <v>GUSTAVO LAGO DO NASCIMENTO;</v>
      </c>
    </row>
    <row r="58" spans="1:11" x14ac:dyDescent="0.3">
      <c r="A58" s="3" t="s">
        <v>59</v>
      </c>
      <c r="B58" s="2">
        <v>1010957</v>
      </c>
      <c r="C58" s="2">
        <v>92005663</v>
      </c>
      <c r="D58" s="10" t="s">
        <v>67</v>
      </c>
      <c r="E58" t="s">
        <v>86</v>
      </c>
      <c r="F58" t="s">
        <v>358</v>
      </c>
      <c r="G5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8" t="s">
        <v>92</v>
      </c>
      <c r="J58">
        <v>0</v>
      </c>
      <c r="K58" s="21" t="str">
        <f>Tabela2[[#This Row],[Nome_Colaborador]]&amp;";"</f>
        <v>SABRINA RIBEIRO DIAS;</v>
      </c>
    </row>
    <row r="59" spans="1:11" x14ac:dyDescent="0.3">
      <c r="A59" s="3" t="s">
        <v>40</v>
      </c>
      <c r="B59" s="2">
        <v>3279534</v>
      </c>
      <c r="C59" s="2">
        <v>92008085</v>
      </c>
      <c r="D59" s="10" t="s">
        <v>76</v>
      </c>
      <c r="E59" t="s">
        <v>86</v>
      </c>
      <c r="F59" t="s">
        <v>359</v>
      </c>
      <c r="G5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59" t="s">
        <v>92</v>
      </c>
      <c r="J59">
        <v>0</v>
      </c>
      <c r="K59" s="21" t="str">
        <f>Tabela2[[#This Row],[Nome_Colaborador]]&amp;";"</f>
        <v>AMANDA CRISTINA DE OLIVEIRA;</v>
      </c>
    </row>
    <row r="60" spans="1:11" x14ac:dyDescent="0.3">
      <c r="A60" s="3" t="s">
        <v>20</v>
      </c>
      <c r="B60" s="2">
        <v>2085884</v>
      </c>
      <c r="C60" s="2">
        <v>92012823</v>
      </c>
      <c r="D60" s="10" t="s">
        <v>76</v>
      </c>
      <c r="E60" t="s">
        <v>86</v>
      </c>
      <c r="F60" t="s">
        <v>359</v>
      </c>
      <c r="G6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0" t="s">
        <v>92</v>
      </c>
      <c r="J60">
        <v>0</v>
      </c>
      <c r="K60" s="21" t="str">
        <f>Tabela2[[#This Row],[Nome_Colaborador]]&amp;";"</f>
        <v>DIEGO ANDREATTA PEREIRA;</v>
      </c>
    </row>
    <row r="61" spans="1:11" x14ac:dyDescent="0.3">
      <c r="A61" s="3" t="s">
        <v>96</v>
      </c>
      <c r="B61" s="2">
        <v>4349001</v>
      </c>
      <c r="C61" s="2"/>
      <c r="D61" s="2" t="s">
        <v>357</v>
      </c>
      <c r="E61" t="s">
        <v>86</v>
      </c>
      <c r="F61" t="s">
        <v>86</v>
      </c>
      <c r="G6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1" t="s">
        <v>92</v>
      </c>
      <c r="J61">
        <v>0</v>
      </c>
      <c r="K61" s="21" t="str">
        <f>Tabela2[[#This Row],[Nome_Colaborador]]&amp;";"</f>
        <v>ANA CLARA TERLECKI VITORINO DOS SANTOS;</v>
      </c>
    </row>
    <row r="62" spans="1:11" x14ac:dyDescent="0.3">
      <c r="A62" s="3" t="s">
        <v>97</v>
      </c>
      <c r="B62" s="2">
        <v>4343503</v>
      </c>
      <c r="C62" s="2"/>
      <c r="D62" s="2" t="s">
        <v>357</v>
      </c>
      <c r="E62" t="s">
        <v>86</v>
      </c>
      <c r="F62" t="s">
        <v>86</v>
      </c>
      <c r="G6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2" t="s">
        <v>92</v>
      </c>
      <c r="J62">
        <v>0</v>
      </c>
      <c r="K62" s="21" t="str">
        <f>Tabela2[[#This Row],[Nome_Colaborador]]&amp;";"</f>
        <v>LEONARDO ALMEIDA DE ANDRADE;</v>
      </c>
    </row>
    <row r="63" spans="1:11" x14ac:dyDescent="0.3">
      <c r="A63" s="3" t="s">
        <v>98</v>
      </c>
      <c r="B63" s="2">
        <v>612436</v>
      </c>
      <c r="C63" s="2"/>
      <c r="D63" s="2" t="s">
        <v>99</v>
      </c>
      <c r="E63" t="s">
        <v>86</v>
      </c>
      <c r="F63" t="s">
        <v>86</v>
      </c>
      <c r="G6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3" t="s">
        <v>92</v>
      </c>
      <c r="J63">
        <v>0</v>
      </c>
      <c r="K63" t="str">
        <f>Tabela2[[#This Row],[Nome_Colaborador]]&amp;";"</f>
        <v>MARCOS LOURENCO DA FONSECA;</v>
      </c>
    </row>
    <row r="64" spans="1:11" x14ac:dyDescent="0.3">
      <c r="A64" s="3" t="s">
        <v>15</v>
      </c>
      <c r="B64" s="2">
        <v>302117</v>
      </c>
      <c r="C64" s="2">
        <v>92012573</v>
      </c>
      <c r="D64" s="2" t="s">
        <v>83</v>
      </c>
      <c r="E64" t="s">
        <v>74</v>
      </c>
      <c r="F64" t="s">
        <v>358</v>
      </c>
      <c r="G6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4" t="s">
        <v>91</v>
      </c>
      <c r="J64">
        <v>0</v>
      </c>
      <c r="K64" t="str">
        <f>Tabela2[[#This Row],[Nome_Colaborador]]&amp;";"</f>
        <v>ANDRE LUIS BIANCHI;</v>
      </c>
    </row>
    <row r="65" spans="1:11" x14ac:dyDescent="0.3">
      <c r="A65" s="3" t="s">
        <v>65</v>
      </c>
      <c r="B65" s="2">
        <v>1086144</v>
      </c>
      <c r="C65" s="2">
        <v>92013110</v>
      </c>
      <c r="D65" s="2" t="s">
        <v>83</v>
      </c>
      <c r="E65" t="s">
        <v>74</v>
      </c>
      <c r="F65" t="s">
        <v>358</v>
      </c>
      <c r="G6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5" t="s">
        <v>91</v>
      </c>
      <c r="J65">
        <v>0</v>
      </c>
      <c r="K65" t="str">
        <f>Tabela2[[#This Row],[Nome_Colaborador]]&amp;";"</f>
        <v>BRUNA STEFFANIE LIMA GUIMARAES;</v>
      </c>
    </row>
    <row r="66" spans="1:11" x14ac:dyDescent="0.3">
      <c r="A66" s="3" t="s">
        <v>27</v>
      </c>
      <c r="B66" s="2">
        <v>1327314</v>
      </c>
      <c r="C66" s="2">
        <v>92011305</v>
      </c>
      <c r="D66" s="2" t="s">
        <v>83</v>
      </c>
      <c r="E66" t="s">
        <v>74</v>
      </c>
      <c r="F66" t="s">
        <v>358</v>
      </c>
      <c r="G6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6" t="s">
        <v>91</v>
      </c>
      <c r="J66">
        <v>0</v>
      </c>
      <c r="K66" t="str">
        <f>Tabela2[[#This Row],[Nome_Colaborador]]&amp;";"</f>
        <v>FRANCIELE DA CONCEICAO DOS SANTOS;</v>
      </c>
    </row>
    <row r="67" spans="1:11" x14ac:dyDescent="0.3">
      <c r="A67" s="12" t="s">
        <v>31</v>
      </c>
      <c r="B67" s="2">
        <v>4633008</v>
      </c>
      <c r="C67" s="2">
        <v>92013031</v>
      </c>
      <c r="D67" s="2" t="s">
        <v>83</v>
      </c>
      <c r="E67" t="s">
        <v>74</v>
      </c>
      <c r="F67" t="s">
        <v>358</v>
      </c>
      <c r="G6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7" t="s">
        <v>91</v>
      </c>
      <c r="J67">
        <v>0</v>
      </c>
      <c r="K67" t="str">
        <f>Tabela2[[#This Row],[Nome_Colaborador]]&amp;";"</f>
        <v>KRYSTHAL CRISTINE DA SILVA HEIN;</v>
      </c>
    </row>
    <row r="68" spans="1:11" x14ac:dyDescent="0.3">
      <c r="A68" s="13" t="s">
        <v>61</v>
      </c>
      <c r="B68" s="2">
        <v>4093519</v>
      </c>
      <c r="C68" s="2">
        <v>92011592</v>
      </c>
      <c r="D68" s="2" t="s">
        <v>83</v>
      </c>
      <c r="E68" t="s">
        <v>74</v>
      </c>
      <c r="F68" t="s">
        <v>358</v>
      </c>
      <c r="G6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8" t="s">
        <v>91</v>
      </c>
      <c r="J68">
        <v>0</v>
      </c>
      <c r="K68" t="str">
        <f>Tabela2[[#This Row],[Nome_Colaborador]]&amp;";"</f>
        <v>LARISSA LIMA DA SILVA TEIXEIRA;</v>
      </c>
    </row>
    <row r="69" spans="1:11" x14ac:dyDescent="0.3">
      <c r="A69" s="13" t="s">
        <v>13</v>
      </c>
      <c r="B69" s="1">
        <v>4515052</v>
      </c>
      <c r="C69" s="1">
        <v>92012668</v>
      </c>
      <c r="D69" s="2" t="s">
        <v>83</v>
      </c>
      <c r="E69" t="s">
        <v>74</v>
      </c>
      <c r="F69" t="s">
        <v>358</v>
      </c>
      <c r="G6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69" t="s">
        <v>91</v>
      </c>
      <c r="J69">
        <v>0</v>
      </c>
      <c r="K69" t="str">
        <f>Tabela2[[#This Row],[Nome_Colaborador]]&amp;";"</f>
        <v>SANDRO OLIVEIRA CLITON BEZERRA;</v>
      </c>
    </row>
    <row r="70" spans="1:11" hidden="1" x14ac:dyDescent="0.3">
      <c r="A70" s="14" t="s">
        <v>100</v>
      </c>
      <c r="B70" s="2">
        <v>0</v>
      </c>
      <c r="C70" s="2">
        <v>0</v>
      </c>
      <c r="D70" s="10" t="s">
        <v>356</v>
      </c>
      <c r="E70" t="str">
        <f>_xlfn.XLOOKUP(Tabela2[[#This Row],[Nome_Colaborador]],[1]Planilha1!$A:$A,[1]Planilha1!$B:$B,"")</f>
        <v>MARCOS</v>
      </c>
      <c r="F70" t="s">
        <v>86</v>
      </c>
      <c r="G7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0" t="s">
        <v>92</v>
      </c>
      <c r="J70">
        <v>0</v>
      </c>
      <c r="K70" t="str">
        <f>Tabela2[[#This Row],[Nome_Colaborador]]&amp;";"</f>
        <v>AMANDA SCHULHAN DE SOUZA;</v>
      </c>
    </row>
    <row r="71" spans="1:11" hidden="1" x14ac:dyDescent="0.3">
      <c r="A71" s="12" t="s">
        <v>101</v>
      </c>
      <c r="B71" s="2">
        <v>0</v>
      </c>
      <c r="C71" s="2">
        <v>0</v>
      </c>
      <c r="D71" s="10" t="s">
        <v>356</v>
      </c>
      <c r="E71" t="str">
        <f>_xlfn.XLOOKUP(Tabela2[[#This Row],[Nome_Colaborador]],[1]Planilha1!$A:$A,[1]Planilha1!$B:$B,"")</f>
        <v>MARCOS</v>
      </c>
      <c r="F71" t="s">
        <v>86</v>
      </c>
      <c r="G7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1" t="s">
        <v>92</v>
      </c>
      <c r="J71">
        <v>0</v>
      </c>
      <c r="K71" t="str">
        <f>Tabela2[[#This Row],[Nome_Colaborador]]&amp;";"</f>
        <v>MARISTELA PRUCH PORTELLA;</v>
      </c>
    </row>
    <row r="72" spans="1:11" hidden="1" x14ac:dyDescent="0.3">
      <c r="A72" s="12" t="s">
        <v>102</v>
      </c>
      <c r="B72" s="2">
        <v>0</v>
      </c>
      <c r="C72" s="2">
        <v>0</v>
      </c>
      <c r="D72" s="10" t="s">
        <v>356</v>
      </c>
      <c r="E72" t="str">
        <f>_xlfn.XLOOKUP(Tabela2[[#This Row],[Nome_Colaborador]],[1]Planilha1!$A:$A,[1]Planilha1!$B:$B,"")</f>
        <v>MARCOS</v>
      </c>
      <c r="F72" t="s">
        <v>86</v>
      </c>
      <c r="G7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2" t="s">
        <v>92</v>
      </c>
      <c r="J72">
        <v>0</v>
      </c>
      <c r="K72" t="str">
        <f>Tabela2[[#This Row],[Nome_Colaborador]]&amp;";"</f>
        <v>DANIEL CORDEIRO FARIA;</v>
      </c>
    </row>
    <row r="73" spans="1:11" hidden="1" x14ac:dyDescent="0.3">
      <c r="A73" s="12" t="s">
        <v>103</v>
      </c>
      <c r="B73" s="2">
        <v>0</v>
      </c>
      <c r="C73" s="2">
        <v>0</v>
      </c>
      <c r="D73" s="10" t="s">
        <v>356</v>
      </c>
      <c r="E73" t="str">
        <f>_xlfn.XLOOKUP(Tabela2[[#This Row],[Nome_Colaborador]],[1]Planilha1!$A:$A,[1]Planilha1!$B:$B,"")</f>
        <v>MARCOS</v>
      </c>
      <c r="F73" t="s">
        <v>86</v>
      </c>
      <c r="G7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3" t="s">
        <v>92</v>
      </c>
      <c r="J73">
        <v>0</v>
      </c>
      <c r="K73" t="str">
        <f>Tabela2[[#This Row],[Nome_Colaborador]]&amp;";"</f>
        <v>THAIS ALCANTARA DE SOUZA FALK;</v>
      </c>
    </row>
    <row r="74" spans="1:11" hidden="1" x14ac:dyDescent="0.3">
      <c r="A74" s="12" t="s">
        <v>104</v>
      </c>
      <c r="B74" s="2">
        <v>0</v>
      </c>
      <c r="C74" s="2">
        <v>0</v>
      </c>
      <c r="D74" s="10" t="s">
        <v>356</v>
      </c>
      <c r="E74" t="str">
        <f>_xlfn.XLOOKUP(Tabela2[[#This Row],[Nome_Colaborador]],[1]Planilha1!$A:$A,[1]Planilha1!$B:$B,"")</f>
        <v>MARCOS</v>
      </c>
      <c r="F74" t="s">
        <v>86</v>
      </c>
      <c r="G7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4" t="s">
        <v>92</v>
      </c>
      <c r="J74">
        <v>0</v>
      </c>
      <c r="K74" t="str">
        <f>Tabela2[[#This Row],[Nome_Colaborador]]&amp;";"</f>
        <v>HICARO FELIPE DOS SANTOS DA LUZ;</v>
      </c>
    </row>
    <row r="75" spans="1:11" hidden="1" x14ac:dyDescent="0.3">
      <c r="A75" s="12" t="s">
        <v>105</v>
      </c>
      <c r="B75" s="2">
        <v>0</v>
      </c>
      <c r="C75" s="2">
        <v>0</v>
      </c>
      <c r="D75" s="10" t="s">
        <v>356</v>
      </c>
      <c r="E75" t="str">
        <f>_xlfn.XLOOKUP(Tabela2[[#This Row],[Nome_Colaborador]],[1]Planilha1!$A:$A,[1]Planilha1!$B:$B,"")</f>
        <v>MARCOS</v>
      </c>
      <c r="F75" t="s">
        <v>86</v>
      </c>
      <c r="G7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5" t="s">
        <v>92</v>
      </c>
      <c r="J75">
        <v>0</v>
      </c>
      <c r="K75" t="str">
        <f>Tabela2[[#This Row],[Nome_Colaborador]]&amp;";"</f>
        <v>ROGER ECKERMANN CARDOSO;</v>
      </c>
    </row>
    <row r="76" spans="1:11" hidden="1" x14ac:dyDescent="0.3">
      <c r="A76" s="12" t="s">
        <v>106</v>
      </c>
      <c r="B76" s="2">
        <v>0</v>
      </c>
      <c r="C76" s="2">
        <v>0</v>
      </c>
      <c r="D76" s="10" t="s">
        <v>356</v>
      </c>
      <c r="E76" t="str">
        <f>_xlfn.XLOOKUP(Tabela2[[#This Row],[Nome_Colaborador]],[1]Planilha1!$A:$A,[1]Planilha1!$B:$B,"")</f>
        <v>MARCOS</v>
      </c>
      <c r="F76" t="s">
        <v>86</v>
      </c>
      <c r="G7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6" t="s">
        <v>92</v>
      </c>
      <c r="J76">
        <v>0</v>
      </c>
      <c r="K76" t="str">
        <f>Tabela2[[#This Row],[Nome_Colaborador]]&amp;";"</f>
        <v>WILLIAN LANGER DE FRANCA;</v>
      </c>
    </row>
    <row r="77" spans="1:11" hidden="1" x14ac:dyDescent="0.3">
      <c r="A77" s="12" t="s">
        <v>107</v>
      </c>
      <c r="B77" s="2">
        <v>0</v>
      </c>
      <c r="C77" s="2">
        <v>0</v>
      </c>
      <c r="D77" s="10" t="s">
        <v>356</v>
      </c>
      <c r="E77" t="str">
        <f>_xlfn.XLOOKUP(Tabela2[[#This Row],[Nome_Colaborador]],[1]Planilha1!$A:$A,[1]Planilha1!$B:$B,"")</f>
        <v>MARCOS</v>
      </c>
      <c r="F77" t="s">
        <v>86</v>
      </c>
      <c r="G7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7" t="s">
        <v>92</v>
      </c>
      <c r="J77">
        <v>0</v>
      </c>
      <c r="K77" t="str">
        <f>Tabela2[[#This Row],[Nome_Colaborador]]&amp;";"</f>
        <v>ELAINE BUNIK;</v>
      </c>
    </row>
    <row r="78" spans="1:11" hidden="1" x14ac:dyDescent="0.3">
      <c r="A78" s="12" t="s">
        <v>108</v>
      </c>
      <c r="B78" s="2">
        <v>0</v>
      </c>
      <c r="C78" s="2">
        <v>0</v>
      </c>
      <c r="D78" s="10" t="s">
        <v>356</v>
      </c>
      <c r="E78" t="str">
        <f>_xlfn.XLOOKUP(Tabela2[[#This Row],[Nome_Colaborador]],[1]Planilha1!$A:$A,[1]Planilha1!$B:$B,"")</f>
        <v>MARCOS</v>
      </c>
      <c r="F78" t="s">
        <v>86</v>
      </c>
      <c r="G7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8" t="s">
        <v>92</v>
      </c>
      <c r="J78">
        <v>0</v>
      </c>
      <c r="K78" t="str">
        <f>Tabela2[[#This Row],[Nome_Colaborador]]&amp;";"</f>
        <v>ERICK RICARDO ILIANO PIECZARKA;</v>
      </c>
    </row>
    <row r="79" spans="1:11" hidden="1" x14ac:dyDescent="0.3">
      <c r="A79" s="12" t="s">
        <v>109</v>
      </c>
      <c r="B79" s="2">
        <v>0</v>
      </c>
      <c r="C79" s="2">
        <v>0</v>
      </c>
      <c r="D79" s="10" t="s">
        <v>356</v>
      </c>
      <c r="E79" t="str">
        <f>_xlfn.XLOOKUP(Tabela2[[#This Row],[Nome_Colaborador]],[1]Planilha1!$A:$A,[1]Planilha1!$B:$B,"")</f>
        <v>MARCOS</v>
      </c>
      <c r="F79" t="s">
        <v>86</v>
      </c>
      <c r="G7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79" t="s">
        <v>92</v>
      </c>
      <c r="J79">
        <v>0</v>
      </c>
      <c r="K79" t="str">
        <f>Tabela2[[#This Row],[Nome_Colaborador]]&amp;";"</f>
        <v>EMERSON ALVES;</v>
      </c>
    </row>
    <row r="80" spans="1:11" hidden="1" x14ac:dyDescent="0.3">
      <c r="A80" s="12" t="s">
        <v>110</v>
      </c>
      <c r="B80" s="2">
        <v>0</v>
      </c>
      <c r="C80" s="2">
        <v>0</v>
      </c>
      <c r="D80" s="10" t="s">
        <v>356</v>
      </c>
      <c r="E80" t="str">
        <f>_xlfn.XLOOKUP(Tabela2[[#This Row],[Nome_Colaborador]],[1]Planilha1!$A:$A,[1]Planilha1!$B:$B,"")</f>
        <v>MARCOS</v>
      </c>
      <c r="F80" t="s">
        <v>86</v>
      </c>
      <c r="G8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80" t="s">
        <v>92</v>
      </c>
      <c r="J80">
        <v>0</v>
      </c>
      <c r="K80" t="str">
        <f>Tabela2[[#This Row],[Nome_Colaborador]]&amp;";"</f>
        <v>ANA PAULA LAGE;</v>
      </c>
    </row>
    <row r="81" spans="1:11" hidden="1" x14ac:dyDescent="0.3">
      <c r="A81" s="12" t="s">
        <v>111</v>
      </c>
      <c r="B81" s="2">
        <v>0</v>
      </c>
      <c r="C81" s="2">
        <v>0</v>
      </c>
      <c r="D81" s="10" t="s">
        <v>356</v>
      </c>
      <c r="E81" t="str">
        <f>_xlfn.XLOOKUP(Tabela2[[#This Row],[Nome_Colaborador]],[1]Planilha1!$A:$A,[1]Planilha1!$B:$B,"")</f>
        <v>MARCOS</v>
      </c>
      <c r="F81" t="s">
        <v>86</v>
      </c>
      <c r="G8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81" t="s">
        <v>92</v>
      </c>
      <c r="J81">
        <v>0</v>
      </c>
      <c r="K81" t="str">
        <f>Tabela2[[#This Row],[Nome_Colaborador]]&amp;";"</f>
        <v>FRANCIELE DA CRUZ WALDEMIRO;</v>
      </c>
    </row>
    <row r="82" spans="1:11" hidden="1" x14ac:dyDescent="0.3">
      <c r="A82" s="12" t="s">
        <v>112</v>
      </c>
      <c r="B82" s="2">
        <v>0</v>
      </c>
      <c r="C82" s="2">
        <v>0</v>
      </c>
      <c r="D82" s="10" t="s">
        <v>356</v>
      </c>
      <c r="E82" t="str">
        <f>_xlfn.XLOOKUP(Tabela2[[#This Row],[Nome_Colaborador]],[1]Planilha1!$A:$A,[1]Planilha1!$B:$B,"")</f>
        <v>MARCOS</v>
      </c>
      <c r="F82" t="s">
        <v>86</v>
      </c>
      <c r="G8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82" t="s">
        <v>92</v>
      </c>
      <c r="J82">
        <v>0</v>
      </c>
      <c r="K82" t="str">
        <f>Tabela2[[#This Row],[Nome_Colaborador]]&amp;";"</f>
        <v>FRANCISCO PEDRO ALVES DE ARAÚJO;</v>
      </c>
    </row>
    <row r="83" spans="1:11" hidden="1" x14ac:dyDescent="0.3">
      <c r="A83" s="12" t="s">
        <v>113</v>
      </c>
      <c r="B83" s="2">
        <v>0</v>
      </c>
      <c r="C83" s="2">
        <v>0</v>
      </c>
      <c r="D83" s="10" t="s">
        <v>356</v>
      </c>
      <c r="E83" t="str">
        <f>_xlfn.XLOOKUP(Tabela2[[#This Row],[Nome_Colaborador]],[1]Planilha1!$A:$A,[1]Planilha1!$B:$B,"")</f>
        <v>MARCOS</v>
      </c>
      <c r="F83" t="s">
        <v>86</v>
      </c>
      <c r="G8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83" t="s">
        <v>92</v>
      </c>
      <c r="J83">
        <v>0</v>
      </c>
      <c r="K83" t="str">
        <f>Tabela2[[#This Row],[Nome_Colaborador]]&amp;";"</f>
        <v>SUELEN DE MELO;</v>
      </c>
    </row>
    <row r="84" spans="1:11" hidden="1" x14ac:dyDescent="0.3">
      <c r="A84" s="12" t="s">
        <v>114</v>
      </c>
      <c r="B84" s="2">
        <v>0</v>
      </c>
      <c r="C84" s="2">
        <v>0</v>
      </c>
      <c r="D84" s="10" t="s">
        <v>356</v>
      </c>
      <c r="E84" t="str">
        <f>_xlfn.XLOOKUP(Tabela2[[#This Row],[Nome_Colaborador]],[1]Planilha1!$A:$A,[1]Planilha1!$B:$B,"")</f>
        <v>MARCOS</v>
      </c>
      <c r="F84" t="s">
        <v>86</v>
      </c>
      <c r="G8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84" t="s">
        <v>92</v>
      </c>
      <c r="J84">
        <v>0</v>
      </c>
      <c r="K84" t="str">
        <f>Tabela2[[#This Row],[Nome_Colaborador]]&amp;";"</f>
        <v>JULIANA DALEFFE;</v>
      </c>
    </row>
    <row r="85" spans="1:11" hidden="1" x14ac:dyDescent="0.3">
      <c r="A85" s="15" t="s">
        <v>115</v>
      </c>
      <c r="B85" s="2">
        <v>0</v>
      </c>
      <c r="C85" s="2">
        <v>0</v>
      </c>
      <c r="D85" s="10" t="s">
        <v>356</v>
      </c>
      <c r="E85" t="str">
        <f>_xlfn.XLOOKUP(Tabela2[[#This Row],[Nome_Colaborador]],[1]Planilha1!$A:$A,[1]Planilha1!$B:$B,"")</f>
        <v>MARCOS</v>
      </c>
      <c r="F85" t="s">
        <v>86</v>
      </c>
      <c r="G8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85" t="s">
        <v>92</v>
      </c>
      <c r="J85">
        <v>0</v>
      </c>
      <c r="K85" t="str">
        <f>Tabela2[[#This Row],[Nome_Colaborador]]&amp;";"</f>
        <v>Acordo Online;</v>
      </c>
    </row>
    <row r="86" spans="1:11" x14ac:dyDescent="0.3">
      <c r="A86" s="12" t="s">
        <v>65</v>
      </c>
      <c r="B86" s="2">
        <v>0</v>
      </c>
      <c r="C86" s="2">
        <v>0</v>
      </c>
      <c r="D86" s="10" t="s">
        <v>356</v>
      </c>
      <c r="E86" t="str">
        <f>_xlfn.XLOOKUP(Tabela2[[#This Row],[Nome_Colaborador]],[1]Planilha1!$A:$A,[1]Planilha1!$B:$B,"")</f>
        <v>SABRINA</v>
      </c>
      <c r="F86" t="s">
        <v>358</v>
      </c>
      <c r="G8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ATIVO</v>
      </c>
      <c r="I86" t="s">
        <v>92</v>
      </c>
      <c r="K86" t="str">
        <f>Tabela2[[#This Row],[Nome_Colaborador]]&amp;";"</f>
        <v>BRUNA STEFFANIE LIMA GUIMARAES;</v>
      </c>
    </row>
    <row r="87" spans="1:11" hidden="1" x14ac:dyDescent="0.3">
      <c r="A87" s="15" t="s">
        <v>116</v>
      </c>
      <c r="B87" s="2">
        <v>0</v>
      </c>
      <c r="C87" s="2">
        <v>0</v>
      </c>
      <c r="D87" s="10" t="s">
        <v>356</v>
      </c>
      <c r="E87" t="str">
        <f>_xlfn.XLOOKUP(Tabela2[[#This Row],[Nome_Colaborador]],[1]Planilha1!$A:$A,[1]Planilha1!$B:$B,"")</f>
        <v>MARCOS</v>
      </c>
      <c r="F87" t="s">
        <v>86</v>
      </c>
      <c r="G8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87" t="s">
        <v>92</v>
      </c>
      <c r="J87">
        <v>0</v>
      </c>
      <c r="K87" t="str">
        <f>Tabela2[[#This Row],[Nome_Colaborador]]&amp;";"</f>
        <v>DARCI SAVIO DIAS;</v>
      </c>
    </row>
    <row r="88" spans="1:11" hidden="1" x14ac:dyDescent="0.3">
      <c r="A88" s="12" t="s">
        <v>117</v>
      </c>
      <c r="B88" s="2">
        <v>0</v>
      </c>
      <c r="C88" s="2">
        <v>0</v>
      </c>
      <c r="D88" s="10" t="s">
        <v>356</v>
      </c>
      <c r="E88" t="str">
        <f>_xlfn.XLOOKUP(Tabela2[[#This Row],[Nome_Colaborador]],[1]Planilha1!$A:$A,[1]Planilha1!$B:$B,"")</f>
        <v>MARCOS</v>
      </c>
      <c r="F88" t="s">
        <v>86</v>
      </c>
      <c r="G8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88" t="s">
        <v>92</v>
      </c>
      <c r="J88">
        <v>0</v>
      </c>
      <c r="K88" t="str">
        <f>Tabela2[[#This Row],[Nome_Colaborador]]&amp;";"</f>
        <v>DANIELLE DOS SANTOS QUEIROZ DE OLIVEIRA;</v>
      </c>
    </row>
    <row r="89" spans="1:11" hidden="1" x14ac:dyDescent="0.3">
      <c r="A89" s="12" t="s">
        <v>118</v>
      </c>
      <c r="B89" s="2">
        <v>0</v>
      </c>
      <c r="C89" s="2">
        <v>0</v>
      </c>
      <c r="D89" s="10" t="s">
        <v>356</v>
      </c>
      <c r="E89" t="str">
        <f>_xlfn.XLOOKUP(Tabela2[[#This Row],[Nome_Colaborador]],[1]Planilha1!$A:$A,[1]Planilha1!$B:$B,"")</f>
        <v>MARCOS</v>
      </c>
      <c r="F89" t="s">
        <v>86</v>
      </c>
      <c r="G8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89" t="s">
        <v>92</v>
      </c>
      <c r="J89">
        <v>0</v>
      </c>
      <c r="K89" t="str">
        <f>Tabela2[[#This Row],[Nome_Colaborador]]&amp;";"</f>
        <v>MISLAINE FATIMA LIMA PEREIRA;</v>
      </c>
    </row>
    <row r="90" spans="1:11" hidden="1" x14ac:dyDescent="0.3">
      <c r="A90" s="13" t="s">
        <v>119</v>
      </c>
      <c r="B90" s="2">
        <v>0</v>
      </c>
      <c r="C90" s="2">
        <v>0</v>
      </c>
      <c r="D90" s="10" t="s">
        <v>356</v>
      </c>
      <c r="E90" t="str">
        <f>_xlfn.XLOOKUP(Tabela2[[#This Row],[Nome_Colaborador]],[1]Planilha1!$A:$A,[1]Planilha1!$B:$B,"")</f>
        <v>MARCOS</v>
      </c>
      <c r="F90" t="s">
        <v>86</v>
      </c>
      <c r="G9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0" t="s">
        <v>92</v>
      </c>
      <c r="J90">
        <v>0</v>
      </c>
      <c r="K90" t="str">
        <f>Tabela2[[#This Row],[Nome_Colaborador]]&amp;";"</f>
        <v>FABIANO DO ROSARIO BUENO;</v>
      </c>
    </row>
    <row r="91" spans="1:11" hidden="1" x14ac:dyDescent="0.3">
      <c r="A91" s="12" t="s">
        <v>120</v>
      </c>
      <c r="B91" s="2">
        <v>0</v>
      </c>
      <c r="C91" s="2">
        <v>0</v>
      </c>
      <c r="D91" s="10" t="s">
        <v>356</v>
      </c>
      <c r="E91" t="str">
        <f>_xlfn.XLOOKUP(Tabela2[[#This Row],[Nome_Colaborador]],[1]Planilha1!$A:$A,[1]Planilha1!$B:$B,"")</f>
        <v>MARCOS</v>
      </c>
      <c r="F91" t="s">
        <v>86</v>
      </c>
      <c r="G9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1" t="s">
        <v>92</v>
      </c>
      <c r="J91">
        <v>0</v>
      </c>
      <c r="K91" t="str">
        <f>Tabela2[[#This Row],[Nome_Colaborador]]&amp;";"</f>
        <v>ALAN JOHNNES DA SILVA;</v>
      </c>
    </row>
    <row r="92" spans="1:11" hidden="1" x14ac:dyDescent="0.3">
      <c r="A92" s="12" t="s">
        <v>121</v>
      </c>
      <c r="B92" s="2">
        <v>0</v>
      </c>
      <c r="C92" s="2">
        <v>0</v>
      </c>
      <c r="D92" s="10" t="s">
        <v>356</v>
      </c>
      <c r="E92" t="str">
        <f>_xlfn.XLOOKUP(Tabela2[[#This Row],[Nome_Colaborador]],[1]Planilha1!$A:$A,[1]Planilha1!$B:$B,"")</f>
        <v>MARCOS</v>
      </c>
      <c r="F92" t="s">
        <v>86</v>
      </c>
      <c r="G9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2" t="s">
        <v>92</v>
      </c>
      <c r="J92">
        <v>0</v>
      </c>
      <c r="K92" t="str">
        <f>Tabela2[[#This Row],[Nome_Colaborador]]&amp;";"</f>
        <v>WUELLYTON DE SOUZA OLIVEIRA;</v>
      </c>
    </row>
    <row r="93" spans="1:11" hidden="1" x14ac:dyDescent="0.3">
      <c r="A93" s="12" t="s">
        <v>122</v>
      </c>
      <c r="B93" s="2">
        <v>0</v>
      </c>
      <c r="C93" s="2">
        <v>0</v>
      </c>
      <c r="D93" s="10" t="s">
        <v>356</v>
      </c>
      <c r="E93" t="str">
        <f>_xlfn.XLOOKUP(Tabela2[[#This Row],[Nome_Colaborador]],[1]Planilha1!$A:$A,[1]Planilha1!$B:$B,"")</f>
        <v>MARCOS</v>
      </c>
      <c r="F93" t="s">
        <v>86</v>
      </c>
      <c r="G9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3" t="s">
        <v>92</v>
      </c>
      <c r="J93">
        <v>0</v>
      </c>
      <c r="K93" t="str">
        <f>Tabela2[[#This Row],[Nome_Colaborador]]&amp;";"</f>
        <v>THAINA TULASI DE TURIN E ALKMIM PEREIRA;</v>
      </c>
    </row>
    <row r="94" spans="1:11" hidden="1" x14ac:dyDescent="0.3">
      <c r="A94" s="12" t="s">
        <v>123</v>
      </c>
      <c r="B94" s="2">
        <v>0</v>
      </c>
      <c r="C94" s="2">
        <v>0</v>
      </c>
      <c r="D94" s="10" t="s">
        <v>356</v>
      </c>
      <c r="E94" t="str">
        <f>_xlfn.XLOOKUP(Tabela2[[#This Row],[Nome_Colaborador]],[1]Planilha1!$A:$A,[1]Planilha1!$B:$B,"")</f>
        <v>MARCOS</v>
      </c>
      <c r="F94" t="s">
        <v>86</v>
      </c>
      <c r="G9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4" t="s">
        <v>92</v>
      </c>
      <c r="J94">
        <v>0</v>
      </c>
      <c r="K94" t="str">
        <f>Tabela2[[#This Row],[Nome_Colaborador]]&amp;";"</f>
        <v>JAMALIE INAYA MARQUES;</v>
      </c>
    </row>
    <row r="95" spans="1:11" hidden="1" x14ac:dyDescent="0.3">
      <c r="A95" s="12" t="s">
        <v>124</v>
      </c>
      <c r="B95" s="2">
        <v>0</v>
      </c>
      <c r="C95" s="2">
        <v>0</v>
      </c>
      <c r="D95" s="10" t="s">
        <v>356</v>
      </c>
      <c r="E95" t="str">
        <f>_xlfn.XLOOKUP(Tabela2[[#This Row],[Nome_Colaborador]],[1]Planilha1!$A:$A,[1]Planilha1!$B:$B,"")</f>
        <v>MARCOS</v>
      </c>
      <c r="F95" t="s">
        <v>86</v>
      </c>
      <c r="G9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5" t="s">
        <v>92</v>
      </c>
      <c r="J95">
        <v>0</v>
      </c>
      <c r="K95" t="str">
        <f>Tabela2[[#This Row],[Nome_Colaborador]]&amp;";"</f>
        <v>PEDRO HENRIQUE BRISOLA CABRAL;</v>
      </c>
    </row>
    <row r="96" spans="1:11" hidden="1" x14ac:dyDescent="0.3">
      <c r="A96" s="12" t="s">
        <v>125</v>
      </c>
      <c r="B96" s="2">
        <v>0</v>
      </c>
      <c r="C96" s="2">
        <v>0</v>
      </c>
      <c r="D96" s="10" t="s">
        <v>356</v>
      </c>
      <c r="E96" t="str">
        <f>_xlfn.XLOOKUP(Tabela2[[#This Row],[Nome_Colaborador]],[1]Planilha1!$A:$A,[1]Planilha1!$B:$B,"")</f>
        <v>MARCOS</v>
      </c>
      <c r="F96" t="s">
        <v>86</v>
      </c>
      <c r="G9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6" t="s">
        <v>92</v>
      </c>
      <c r="J96">
        <v>0</v>
      </c>
      <c r="K96" t="str">
        <f>Tabela2[[#This Row],[Nome_Colaborador]]&amp;";"</f>
        <v>LESLIEL MOISES CARVALHO MONZANI;</v>
      </c>
    </row>
    <row r="97" spans="1:11" hidden="1" x14ac:dyDescent="0.3">
      <c r="A97" s="12" t="s">
        <v>126</v>
      </c>
      <c r="B97" s="2">
        <v>0</v>
      </c>
      <c r="C97" s="2">
        <v>0</v>
      </c>
      <c r="D97" s="10" t="s">
        <v>356</v>
      </c>
      <c r="E97" t="str">
        <f>_xlfn.XLOOKUP(Tabela2[[#This Row],[Nome_Colaborador]],[1]Planilha1!$A:$A,[1]Planilha1!$B:$B,"")</f>
        <v>MARCOS</v>
      </c>
      <c r="F97" t="s">
        <v>86</v>
      </c>
      <c r="G9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7" t="s">
        <v>92</v>
      </c>
      <c r="J97">
        <v>0</v>
      </c>
      <c r="K97" t="str">
        <f>Tabela2[[#This Row],[Nome_Colaborador]]&amp;";"</f>
        <v>ALEXANDRE PAIS MACOPPI;</v>
      </c>
    </row>
    <row r="98" spans="1:11" hidden="1" x14ac:dyDescent="0.3">
      <c r="A98" s="12" t="s">
        <v>127</v>
      </c>
      <c r="B98" s="2">
        <v>0</v>
      </c>
      <c r="C98" s="2">
        <v>0</v>
      </c>
      <c r="D98" s="10" t="s">
        <v>356</v>
      </c>
      <c r="E98" t="str">
        <f>_xlfn.XLOOKUP(Tabela2[[#This Row],[Nome_Colaborador]],[1]Planilha1!$A:$A,[1]Planilha1!$B:$B,"")</f>
        <v>MARCOS</v>
      </c>
      <c r="F98" t="s">
        <v>86</v>
      </c>
      <c r="G9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8" t="s">
        <v>92</v>
      </c>
      <c r="J98">
        <v>0</v>
      </c>
      <c r="K98" t="str">
        <f>Tabela2[[#This Row],[Nome_Colaborador]]&amp;";"</f>
        <v>GEORGE FERNANDO DE OLIVEIRA MARTINS;</v>
      </c>
    </row>
    <row r="99" spans="1:11" hidden="1" x14ac:dyDescent="0.3">
      <c r="A99" s="12" t="s">
        <v>128</v>
      </c>
      <c r="B99" s="2">
        <v>0</v>
      </c>
      <c r="C99" s="2">
        <v>0</v>
      </c>
      <c r="D99" s="10" t="s">
        <v>356</v>
      </c>
      <c r="E99" t="str">
        <f>_xlfn.XLOOKUP(Tabela2[[#This Row],[Nome_Colaborador]],[1]Planilha1!$A:$A,[1]Planilha1!$B:$B,"")</f>
        <v>MARCOS</v>
      </c>
      <c r="F99" t="s">
        <v>86</v>
      </c>
      <c r="G9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99" t="s">
        <v>92</v>
      </c>
      <c r="J99">
        <v>0</v>
      </c>
      <c r="K99" t="str">
        <f>Tabela2[[#This Row],[Nome_Colaborador]]&amp;";"</f>
        <v>GUILHERME GEOVANI VIEIRA DOS SANTOS;</v>
      </c>
    </row>
    <row r="100" spans="1:11" hidden="1" x14ac:dyDescent="0.3">
      <c r="A100" s="12" t="s">
        <v>129</v>
      </c>
      <c r="B100" s="2">
        <v>0</v>
      </c>
      <c r="C100" s="2">
        <v>0</v>
      </c>
      <c r="D100" s="10" t="s">
        <v>356</v>
      </c>
      <c r="E100" t="str">
        <f>_xlfn.XLOOKUP(Tabela2[[#This Row],[Nome_Colaborador]],[1]Planilha1!$A:$A,[1]Planilha1!$B:$B,"")</f>
        <v>MARCOS</v>
      </c>
      <c r="F100" t="s">
        <v>86</v>
      </c>
      <c r="G10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0" t="s">
        <v>92</v>
      </c>
      <c r="J100">
        <v>0</v>
      </c>
      <c r="K100" t="str">
        <f>Tabela2[[#This Row],[Nome_Colaborador]]&amp;";"</f>
        <v>ALEXANDRE HENRIQUE ASSUMPÇÃO;</v>
      </c>
    </row>
    <row r="101" spans="1:11" hidden="1" x14ac:dyDescent="0.3">
      <c r="A101" s="12" t="s">
        <v>130</v>
      </c>
      <c r="B101" s="2">
        <v>0</v>
      </c>
      <c r="C101" s="2">
        <v>0</v>
      </c>
      <c r="D101" s="10" t="s">
        <v>356</v>
      </c>
      <c r="E101" t="str">
        <f>_xlfn.XLOOKUP(Tabela2[[#This Row],[Nome_Colaborador]],[1]Planilha1!$A:$A,[1]Planilha1!$B:$B,"")</f>
        <v>MARCOS</v>
      </c>
      <c r="F101" t="s">
        <v>86</v>
      </c>
      <c r="G10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1" t="s">
        <v>92</v>
      </c>
      <c r="J101">
        <v>0</v>
      </c>
      <c r="K101" t="str">
        <f>Tabela2[[#This Row],[Nome_Colaborador]]&amp;";"</f>
        <v>ANA ELISA MARANHAO SANTOS;</v>
      </c>
    </row>
    <row r="102" spans="1:11" hidden="1" x14ac:dyDescent="0.3">
      <c r="A102" s="12" t="s">
        <v>131</v>
      </c>
      <c r="B102" s="2">
        <v>0</v>
      </c>
      <c r="C102" s="2">
        <v>0</v>
      </c>
      <c r="D102" s="10" t="s">
        <v>356</v>
      </c>
      <c r="E102" t="str">
        <f>_xlfn.XLOOKUP(Tabela2[[#This Row],[Nome_Colaborador]],[1]Planilha1!$A:$A,[1]Planilha1!$B:$B,"")</f>
        <v>MARCOS</v>
      </c>
      <c r="F102" t="s">
        <v>86</v>
      </c>
      <c r="G10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2" t="s">
        <v>92</v>
      </c>
      <c r="J102">
        <v>0</v>
      </c>
      <c r="K102" t="str">
        <f>Tabela2[[#This Row],[Nome_Colaborador]]&amp;";"</f>
        <v>JANINE WLODARSKI;</v>
      </c>
    </row>
    <row r="103" spans="1:11" hidden="1" x14ac:dyDescent="0.3">
      <c r="A103" s="12" t="s">
        <v>132</v>
      </c>
      <c r="B103" s="2">
        <v>0</v>
      </c>
      <c r="C103" s="2">
        <v>0</v>
      </c>
      <c r="D103" s="10" t="s">
        <v>356</v>
      </c>
      <c r="E103" t="str">
        <f>_xlfn.XLOOKUP(Tabela2[[#This Row],[Nome_Colaborador]],[1]Planilha1!$A:$A,[1]Planilha1!$B:$B,"")</f>
        <v>MARCOS</v>
      </c>
      <c r="F103" t="s">
        <v>86</v>
      </c>
      <c r="G10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3" t="s">
        <v>92</v>
      </c>
      <c r="J103">
        <v>0</v>
      </c>
      <c r="K103" t="str">
        <f>Tabela2[[#This Row],[Nome_Colaborador]]&amp;";"</f>
        <v>MATHEUS XAVIER DE ALMEIDA;</v>
      </c>
    </row>
    <row r="104" spans="1:11" hidden="1" x14ac:dyDescent="0.3">
      <c r="A104" s="12" t="s">
        <v>133</v>
      </c>
      <c r="B104" s="2">
        <v>0</v>
      </c>
      <c r="C104" s="2">
        <v>0</v>
      </c>
      <c r="D104" s="10" t="s">
        <v>356</v>
      </c>
      <c r="E104" t="str">
        <f>_xlfn.XLOOKUP(Tabela2[[#This Row],[Nome_Colaborador]],[1]Planilha1!$A:$A,[1]Planilha1!$B:$B,"")</f>
        <v>MARCOS</v>
      </c>
      <c r="F104" t="s">
        <v>86</v>
      </c>
      <c r="G10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4" t="s">
        <v>92</v>
      </c>
      <c r="J104">
        <v>0</v>
      </c>
      <c r="K104" t="str">
        <f>Tabela2[[#This Row],[Nome_Colaborador]]&amp;";"</f>
        <v>FABIO AUGUSTO DE OLIVEIRA;</v>
      </c>
    </row>
    <row r="105" spans="1:11" hidden="1" x14ac:dyDescent="0.3">
      <c r="A105" s="12" t="s">
        <v>134</v>
      </c>
      <c r="B105" s="2">
        <v>0</v>
      </c>
      <c r="C105" s="2">
        <v>0</v>
      </c>
      <c r="D105" s="10" t="s">
        <v>356</v>
      </c>
      <c r="E105" t="str">
        <f>_xlfn.XLOOKUP(Tabela2[[#This Row],[Nome_Colaborador]],[1]Planilha1!$A:$A,[1]Planilha1!$B:$B,"")</f>
        <v>MARCOS</v>
      </c>
      <c r="F105" t="s">
        <v>86</v>
      </c>
      <c r="G10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5" t="s">
        <v>92</v>
      </c>
      <c r="J105">
        <v>0</v>
      </c>
      <c r="K105" t="str">
        <f>Tabela2[[#This Row],[Nome_Colaborador]]&amp;";"</f>
        <v>ALEXIA JULIANA DA SILVA;</v>
      </c>
    </row>
    <row r="106" spans="1:11" hidden="1" x14ac:dyDescent="0.3">
      <c r="A106" s="12" t="s">
        <v>135</v>
      </c>
      <c r="B106" s="2">
        <v>0</v>
      </c>
      <c r="C106" s="2">
        <v>0</v>
      </c>
      <c r="D106" s="10" t="s">
        <v>356</v>
      </c>
      <c r="E106" t="str">
        <f>_xlfn.XLOOKUP(Tabela2[[#This Row],[Nome_Colaborador]],[1]Planilha1!$A:$A,[1]Planilha1!$B:$B,"")</f>
        <v>MARCOS</v>
      </c>
      <c r="F106" t="s">
        <v>86</v>
      </c>
      <c r="G10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6" t="s">
        <v>92</v>
      </c>
      <c r="J106">
        <v>0</v>
      </c>
      <c r="K106" t="str">
        <f>Tabela2[[#This Row],[Nome_Colaborador]]&amp;";"</f>
        <v>ROSANA SALETE DE SOUZA MACHADO;</v>
      </c>
    </row>
    <row r="107" spans="1:11" hidden="1" x14ac:dyDescent="0.3">
      <c r="A107" s="12" t="s">
        <v>136</v>
      </c>
      <c r="B107" s="2">
        <v>0</v>
      </c>
      <c r="C107" s="2">
        <v>0</v>
      </c>
      <c r="D107" s="10" t="s">
        <v>356</v>
      </c>
      <c r="E107" t="str">
        <f>_xlfn.XLOOKUP(Tabela2[[#This Row],[Nome_Colaborador]],[1]Planilha1!$A:$A,[1]Planilha1!$B:$B,"")</f>
        <v>MARCOS</v>
      </c>
      <c r="F107" t="s">
        <v>86</v>
      </c>
      <c r="G10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7" t="s">
        <v>92</v>
      </c>
      <c r="J107">
        <v>0</v>
      </c>
      <c r="K107" t="str">
        <f>Tabela2[[#This Row],[Nome_Colaborador]]&amp;";"</f>
        <v>ANA MARIA DA SILVA CARDOSO;</v>
      </c>
    </row>
    <row r="108" spans="1:11" hidden="1" x14ac:dyDescent="0.3">
      <c r="A108" s="12" t="s">
        <v>137</v>
      </c>
      <c r="B108" s="2">
        <v>0</v>
      </c>
      <c r="C108" s="2">
        <v>0</v>
      </c>
      <c r="D108" s="10" t="s">
        <v>356</v>
      </c>
      <c r="E108" t="str">
        <f>_xlfn.XLOOKUP(Tabela2[[#This Row],[Nome_Colaborador]],[1]Planilha1!$A:$A,[1]Planilha1!$B:$B,"")</f>
        <v>MARCOS</v>
      </c>
      <c r="F108" t="s">
        <v>86</v>
      </c>
      <c r="G10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8" t="s">
        <v>92</v>
      </c>
      <c r="J108">
        <v>0</v>
      </c>
      <c r="K108" t="str">
        <f>Tabela2[[#This Row],[Nome_Colaborador]]&amp;";"</f>
        <v>JAMAL DOS SANTOS;</v>
      </c>
    </row>
    <row r="109" spans="1:11" hidden="1" x14ac:dyDescent="0.3">
      <c r="A109" s="12" t="s">
        <v>138</v>
      </c>
      <c r="B109" s="2">
        <v>0</v>
      </c>
      <c r="C109" s="2">
        <v>0</v>
      </c>
      <c r="D109" s="10" t="s">
        <v>356</v>
      </c>
      <c r="E109" t="str">
        <f>_xlfn.XLOOKUP(Tabela2[[#This Row],[Nome_Colaborador]],[1]Planilha1!$A:$A,[1]Planilha1!$B:$B,"")</f>
        <v>MARCOS</v>
      </c>
      <c r="F109" t="s">
        <v>86</v>
      </c>
      <c r="G10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09" t="s">
        <v>92</v>
      </c>
      <c r="J109">
        <v>0</v>
      </c>
      <c r="K109" t="str">
        <f>Tabela2[[#This Row],[Nome_Colaborador]]&amp;";"</f>
        <v>JOSUÉ HOSSEL SEMKIW;</v>
      </c>
    </row>
    <row r="110" spans="1:11" hidden="1" x14ac:dyDescent="0.3">
      <c r="A110" s="12" t="s">
        <v>139</v>
      </c>
      <c r="B110" s="2">
        <v>0</v>
      </c>
      <c r="C110" s="2">
        <v>0</v>
      </c>
      <c r="D110" s="10" t="s">
        <v>356</v>
      </c>
      <c r="E110" t="str">
        <f>_xlfn.XLOOKUP(Tabela2[[#This Row],[Nome_Colaborador]],[1]Planilha1!$A:$A,[1]Planilha1!$B:$B,"")</f>
        <v>MARCOS</v>
      </c>
      <c r="F110" t="s">
        <v>86</v>
      </c>
      <c r="G11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0" t="s">
        <v>92</v>
      </c>
      <c r="J110">
        <v>0</v>
      </c>
      <c r="K110" t="str">
        <f>Tabela2[[#This Row],[Nome_Colaborador]]&amp;";"</f>
        <v>AMANDA JULY ANNE GAGNO;</v>
      </c>
    </row>
    <row r="111" spans="1:11" hidden="1" x14ac:dyDescent="0.3">
      <c r="A111" s="12" t="s">
        <v>140</v>
      </c>
      <c r="B111" s="2">
        <v>0</v>
      </c>
      <c r="C111" s="2">
        <v>0</v>
      </c>
      <c r="D111" s="10" t="s">
        <v>356</v>
      </c>
      <c r="E111" t="str">
        <f>_xlfn.XLOOKUP(Tabela2[[#This Row],[Nome_Colaborador]],[1]Planilha1!$A:$A,[1]Planilha1!$B:$B,"")</f>
        <v>MARCOS</v>
      </c>
      <c r="F111" t="s">
        <v>86</v>
      </c>
      <c r="G11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1" t="s">
        <v>92</v>
      </c>
      <c r="J111">
        <v>0</v>
      </c>
      <c r="K111" t="str">
        <f>Tabela2[[#This Row],[Nome_Colaborador]]&amp;";"</f>
        <v>LUCAS FARIA SIQUEIRA;</v>
      </c>
    </row>
    <row r="112" spans="1:11" hidden="1" x14ac:dyDescent="0.3">
      <c r="A112" s="12" t="s">
        <v>141</v>
      </c>
      <c r="B112" s="2">
        <v>0</v>
      </c>
      <c r="C112" s="2">
        <v>0</v>
      </c>
      <c r="D112" s="10" t="s">
        <v>356</v>
      </c>
      <c r="E112" t="str">
        <f>_xlfn.XLOOKUP(Tabela2[[#This Row],[Nome_Colaborador]],[1]Planilha1!$A:$A,[1]Planilha1!$B:$B,"")</f>
        <v>MARCOS</v>
      </c>
      <c r="F112" t="s">
        <v>86</v>
      </c>
      <c r="G11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2" t="s">
        <v>92</v>
      </c>
      <c r="J112">
        <v>0</v>
      </c>
      <c r="K112" t="str">
        <f>Tabela2[[#This Row],[Nome_Colaborador]]&amp;";"</f>
        <v>ALEXSANDER JUSCELINO DOS SANTOS;</v>
      </c>
    </row>
    <row r="113" spans="1:11" hidden="1" x14ac:dyDescent="0.3">
      <c r="A113" s="12" t="s">
        <v>142</v>
      </c>
      <c r="B113" s="2">
        <v>0</v>
      </c>
      <c r="C113" s="2">
        <v>0</v>
      </c>
      <c r="D113" s="10" t="s">
        <v>356</v>
      </c>
      <c r="E113" t="str">
        <f>_xlfn.XLOOKUP(Tabela2[[#This Row],[Nome_Colaborador]],[1]Planilha1!$A:$A,[1]Planilha1!$B:$B,"")</f>
        <v>MARCOS</v>
      </c>
      <c r="F113" t="s">
        <v>86</v>
      </c>
      <c r="G11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3" t="s">
        <v>92</v>
      </c>
      <c r="J113">
        <v>0</v>
      </c>
      <c r="K113" t="str">
        <f>Tabela2[[#This Row],[Nome_Colaborador]]&amp;";"</f>
        <v>ALISSON FELIPE DE SOUZA;</v>
      </c>
    </row>
    <row r="114" spans="1:11" hidden="1" x14ac:dyDescent="0.3">
      <c r="A114" s="12" t="s">
        <v>143</v>
      </c>
      <c r="B114" s="2">
        <v>0</v>
      </c>
      <c r="C114" s="2">
        <v>0</v>
      </c>
      <c r="D114" s="10" t="s">
        <v>356</v>
      </c>
      <c r="E114" t="str">
        <f>_xlfn.XLOOKUP(Tabela2[[#This Row],[Nome_Colaborador]],[1]Planilha1!$A:$A,[1]Planilha1!$B:$B,"")</f>
        <v>MARCOS</v>
      </c>
      <c r="F114" t="s">
        <v>86</v>
      </c>
      <c r="G11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4" t="s">
        <v>92</v>
      </c>
      <c r="J114">
        <v>0</v>
      </c>
      <c r="K114" t="str">
        <f>Tabela2[[#This Row],[Nome_Colaborador]]&amp;";"</f>
        <v>OSLEN RODRIGUES GARCIA;</v>
      </c>
    </row>
    <row r="115" spans="1:11" hidden="1" x14ac:dyDescent="0.3">
      <c r="A115" s="13" t="s">
        <v>144</v>
      </c>
      <c r="B115" s="2">
        <v>0</v>
      </c>
      <c r="C115" s="2">
        <v>0</v>
      </c>
      <c r="D115" s="10" t="s">
        <v>356</v>
      </c>
      <c r="E115" t="str">
        <f>_xlfn.XLOOKUP(Tabela2[[#This Row],[Nome_Colaborador]],[1]Planilha1!$A:$A,[1]Planilha1!$B:$B,"")</f>
        <v>MARCOS</v>
      </c>
      <c r="F115" t="s">
        <v>86</v>
      </c>
      <c r="G11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5" t="s">
        <v>92</v>
      </c>
      <c r="J115">
        <v>0</v>
      </c>
      <c r="K115" t="str">
        <f>Tabela2[[#This Row],[Nome_Colaborador]]&amp;";"</f>
        <v>LANNA PAULA RIBEIRO;</v>
      </c>
    </row>
    <row r="116" spans="1:11" hidden="1" x14ac:dyDescent="0.3">
      <c r="A116" s="12" t="s">
        <v>145</v>
      </c>
      <c r="B116" s="2">
        <v>0</v>
      </c>
      <c r="C116" s="2">
        <v>0</v>
      </c>
      <c r="D116" s="10" t="s">
        <v>356</v>
      </c>
      <c r="E116" t="str">
        <f>_xlfn.XLOOKUP(Tabela2[[#This Row],[Nome_Colaborador]],[1]Planilha1!$A:$A,[1]Planilha1!$B:$B,"")</f>
        <v>MARCOS</v>
      </c>
      <c r="F116" t="s">
        <v>86</v>
      </c>
      <c r="G11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6" t="s">
        <v>92</v>
      </c>
      <c r="J116">
        <v>0</v>
      </c>
      <c r="K116" t="str">
        <f>Tabela2[[#This Row],[Nome_Colaborador]]&amp;";"</f>
        <v>ANA CLAUDIA TOKARSKI DOS SANTOS;</v>
      </c>
    </row>
    <row r="117" spans="1:11" hidden="1" x14ac:dyDescent="0.3">
      <c r="A117" s="3" t="s">
        <v>146</v>
      </c>
      <c r="B117" s="2">
        <v>0</v>
      </c>
      <c r="C117" s="2">
        <v>0</v>
      </c>
      <c r="D117" s="10" t="s">
        <v>356</v>
      </c>
      <c r="E117" t="str">
        <f>_xlfn.XLOOKUP(Tabela2[[#This Row],[Nome_Colaborador]],[1]Planilha1!$A:$A,[1]Planilha1!$B:$B,"")</f>
        <v>MARCOS</v>
      </c>
      <c r="F117" t="s">
        <v>86</v>
      </c>
      <c r="G11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7" t="s">
        <v>92</v>
      </c>
      <c r="J117">
        <v>0</v>
      </c>
      <c r="K117" t="str">
        <f>Tabela2[[#This Row],[Nome_Colaborador]]&amp;";"</f>
        <v>ANA CRISTINA MARTINS;</v>
      </c>
    </row>
    <row r="118" spans="1:11" hidden="1" x14ac:dyDescent="0.3">
      <c r="A118" s="3" t="s">
        <v>147</v>
      </c>
      <c r="B118" s="2">
        <v>0</v>
      </c>
      <c r="C118" s="2">
        <v>0</v>
      </c>
      <c r="D118" s="10" t="s">
        <v>356</v>
      </c>
      <c r="E118" t="str">
        <f>_xlfn.XLOOKUP(Tabela2[[#This Row],[Nome_Colaborador]],[1]Planilha1!$A:$A,[1]Planilha1!$B:$B,"")</f>
        <v>MARCOS</v>
      </c>
      <c r="F118" t="s">
        <v>86</v>
      </c>
      <c r="G11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8" t="s">
        <v>92</v>
      </c>
      <c r="J118">
        <v>0</v>
      </c>
      <c r="K118" t="str">
        <f>Tabela2[[#This Row],[Nome_Colaborador]]&amp;";"</f>
        <v>EDUARDO MERELES KESKOSKI;</v>
      </c>
    </row>
    <row r="119" spans="1:11" hidden="1" x14ac:dyDescent="0.3">
      <c r="A119" s="12" t="s">
        <v>148</v>
      </c>
      <c r="B119" s="2">
        <v>0</v>
      </c>
      <c r="C119" s="2">
        <v>0</v>
      </c>
      <c r="D119" s="10" t="s">
        <v>356</v>
      </c>
      <c r="E119" t="str">
        <f>_xlfn.XLOOKUP(Tabela2[[#This Row],[Nome_Colaborador]],[1]Planilha1!$A:$A,[1]Planilha1!$B:$B,"")</f>
        <v>MARCOS</v>
      </c>
      <c r="F119" t="s">
        <v>86</v>
      </c>
      <c r="G11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19" t="s">
        <v>92</v>
      </c>
      <c r="J119">
        <v>0</v>
      </c>
      <c r="K119" t="str">
        <f>Tabela2[[#This Row],[Nome_Colaborador]]&amp;";"</f>
        <v>MARIA BENEDITA DOS SANTOS ABADE;</v>
      </c>
    </row>
    <row r="120" spans="1:11" hidden="1" x14ac:dyDescent="0.3">
      <c r="A120" s="12" t="s">
        <v>149</v>
      </c>
      <c r="B120" s="2">
        <v>0</v>
      </c>
      <c r="C120" s="2">
        <v>0</v>
      </c>
      <c r="D120" s="10" t="s">
        <v>356</v>
      </c>
      <c r="E120" t="str">
        <f>_xlfn.XLOOKUP(Tabela2[[#This Row],[Nome_Colaborador]],[1]Planilha1!$A:$A,[1]Planilha1!$B:$B,"")</f>
        <v>MARCOS</v>
      </c>
      <c r="F120" t="s">
        <v>86</v>
      </c>
      <c r="G12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0" t="s">
        <v>92</v>
      </c>
      <c r="J120">
        <v>0</v>
      </c>
      <c r="K120" t="str">
        <f>Tabela2[[#This Row],[Nome_Colaborador]]&amp;";"</f>
        <v>BRUNO DIAMANTI AVRELLA;</v>
      </c>
    </row>
    <row r="121" spans="1:11" hidden="1" x14ac:dyDescent="0.3">
      <c r="A121" s="12" t="s">
        <v>150</v>
      </c>
      <c r="B121" s="2">
        <v>0</v>
      </c>
      <c r="C121" s="2">
        <v>0</v>
      </c>
      <c r="D121" s="10" t="s">
        <v>356</v>
      </c>
      <c r="E121" t="str">
        <f>_xlfn.XLOOKUP(Tabela2[[#This Row],[Nome_Colaborador]],[1]Planilha1!$A:$A,[1]Planilha1!$B:$B,"")</f>
        <v>MARCOS</v>
      </c>
      <c r="F121" t="s">
        <v>86</v>
      </c>
      <c r="G12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1" t="s">
        <v>92</v>
      </c>
      <c r="J121">
        <v>0</v>
      </c>
      <c r="K121" t="str">
        <f>Tabela2[[#This Row],[Nome_Colaborador]]&amp;";"</f>
        <v>LILIAN CARMEN DA ROSA KARGER;</v>
      </c>
    </row>
    <row r="122" spans="1:11" hidden="1" x14ac:dyDescent="0.3">
      <c r="A122" s="12" t="s">
        <v>151</v>
      </c>
      <c r="B122" s="2">
        <v>0</v>
      </c>
      <c r="C122" s="2">
        <v>0</v>
      </c>
      <c r="D122" s="10" t="s">
        <v>356</v>
      </c>
      <c r="E122" t="str">
        <f>_xlfn.XLOOKUP(Tabela2[[#This Row],[Nome_Colaborador]],[1]Planilha1!$A:$A,[1]Planilha1!$B:$B,"")</f>
        <v>MARCOS</v>
      </c>
      <c r="F122" t="s">
        <v>86</v>
      </c>
      <c r="G12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2" t="s">
        <v>92</v>
      </c>
      <c r="J122">
        <v>0</v>
      </c>
      <c r="K122" t="str">
        <f>Tabela2[[#This Row],[Nome_Colaborador]]&amp;";"</f>
        <v>MARCIA SILMARA OLESKOWICZ;</v>
      </c>
    </row>
    <row r="123" spans="1:11" hidden="1" x14ac:dyDescent="0.3">
      <c r="A123" s="3" t="s">
        <v>152</v>
      </c>
      <c r="B123" s="2">
        <v>0</v>
      </c>
      <c r="C123" s="2">
        <v>0</v>
      </c>
      <c r="D123" s="10" t="s">
        <v>356</v>
      </c>
      <c r="E123" t="str">
        <f>_xlfn.XLOOKUP(Tabela2[[#This Row],[Nome_Colaborador]],[1]Planilha1!$A:$A,[1]Planilha1!$B:$B,"")</f>
        <v>MARCOS</v>
      </c>
      <c r="F123" t="s">
        <v>86</v>
      </c>
      <c r="G12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3" t="s">
        <v>92</v>
      </c>
      <c r="J123">
        <v>0</v>
      </c>
      <c r="K123" t="str">
        <f>Tabela2[[#This Row],[Nome_Colaborador]]&amp;";"</f>
        <v>MAICKO WILLIAN STRYCHALSKI MENEGUETE;</v>
      </c>
    </row>
    <row r="124" spans="1:11" hidden="1" x14ac:dyDescent="0.3">
      <c r="A124" s="12" t="s">
        <v>153</v>
      </c>
      <c r="B124" s="2">
        <v>0</v>
      </c>
      <c r="C124" s="2">
        <v>0</v>
      </c>
      <c r="D124" s="10" t="s">
        <v>356</v>
      </c>
      <c r="E124" t="str">
        <f>_xlfn.XLOOKUP(Tabela2[[#This Row],[Nome_Colaborador]],[1]Planilha1!$A:$A,[1]Planilha1!$B:$B,"")</f>
        <v>MARCOS</v>
      </c>
      <c r="F124" t="s">
        <v>86</v>
      </c>
      <c r="G12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4" t="s">
        <v>92</v>
      </c>
      <c r="J124">
        <v>0</v>
      </c>
      <c r="K124" t="str">
        <f>Tabela2[[#This Row],[Nome_Colaborador]]&amp;";"</f>
        <v>LUAN HENRIQUE RAMALHO;</v>
      </c>
    </row>
    <row r="125" spans="1:11" hidden="1" x14ac:dyDescent="0.3">
      <c r="A125" s="3" t="s">
        <v>154</v>
      </c>
      <c r="B125" s="2">
        <v>0</v>
      </c>
      <c r="C125" s="2">
        <v>0</v>
      </c>
      <c r="D125" s="10" t="s">
        <v>356</v>
      </c>
      <c r="E125" t="str">
        <f>_xlfn.XLOOKUP(Tabela2[[#This Row],[Nome_Colaborador]],[1]Planilha1!$A:$A,[1]Planilha1!$B:$B,"")</f>
        <v>MARCOS</v>
      </c>
      <c r="F125" t="s">
        <v>86</v>
      </c>
      <c r="G12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5" t="s">
        <v>92</v>
      </c>
      <c r="J125">
        <v>0</v>
      </c>
      <c r="K125" t="str">
        <f>Tabela2[[#This Row],[Nome_Colaborador]]&amp;";"</f>
        <v>LUIZ EDUARDO ZILLI;</v>
      </c>
    </row>
    <row r="126" spans="1:11" hidden="1" x14ac:dyDescent="0.3">
      <c r="A126" s="12" t="s">
        <v>155</v>
      </c>
      <c r="B126" s="2">
        <v>0</v>
      </c>
      <c r="C126" s="2">
        <v>0</v>
      </c>
      <c r="D126" s="10" t="s">
        <v>356</v>
      </c>
      <c r="E126" t="str">
        <f>_xlfn.XLOOKUP(Tabela2[[#This Row],[Nome_Colaborador]],[1]Planilha1!$A:$A,[1]Planilha1!$B:$B,"")</f>
        <v>MARCOS</v>
      </c>
      <c r="F126" t="s">
        <v>86</v>
      </c>
      <c r="G12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6" t="s">
        <v>92</v>
      </c>
      <c r="J126">
        <v>0</v>
      </c>
      <c r="K126" t="str">
        <f>Tabela2[[#This Row],[Nome_Colaborador]]&amp;";"</f>
        <v>BRUNO LEMOS SANTOS EVARISTO;</v>
      </c>
    </row>
    <row r="127" spans="1:11" hidden="1" x14ac:dyDescent="0.3">
      <c r="A127" s="12" t="s">
        <v>156</v>
      </c>
      <c r="B127" s="2">
        <v>0</v>
      </c>
      <c r="C127" s="2">
        <v>0</v>
      </c>
      <c r="D127" s="10" t="s">
        <v>356</v>
      </c>
      <c r="E127" t="str">
        <f>_xlfn.XLOOKUP(Tabela2[[#This Row],[Nome_Colaborador]],[1]Planilha1!$A:$A,[1]Planilha1!$B:$B,"")</f>
        <v>MARCOS</v>
      </c>
      <c r="F127" t="s">
        <v>86</v>
      </c>
      <c r="G12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7" t="s">
        <v>92</v>
      </c>
      <c r="J127">
        <v>0</v>
      </c>
      <c r="K127" t="str">
        <f>Tabela2[[#This Row],[Nome_Colaborador]]&amp;";"</f>
        <v>BRUNO PACIFICO;</v>
      </c>
    </row>
    <row r="128" spans="1:11" hidden="1" x14ac:dyDescent="0.3">
      <c r="A128" s="12" t="s">
        <v>157</v>
      </c>
      <c r="B128" s="2">
        <v>0</v>
      </c>
      <c r="C128" s="2">
        <v>0</v>
      </c>
      <c r="D128" s="10" t="s">
        <v>356</v>
      </c>
      <c r="E128" t="str">
        <f>_xlfn.XLOOKUP(Tabela2[[#This Row],[Nome_Colaborador]],[1]Planilha1!$A:$A,[1]Planilha1!$B:$B,"")</f>
        <v>MARCOS</v>
      </c>
      <c r="F128" t="s">
        <v>86</v>
      </c>
      <c r="G12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8" t="s">
        <v>92</v>
      </c>
      <c r="J128">
        <v>0</v>
      </c>
      <c r="K128" t="str">
        <f>Tabela2[[#This Row],[Nome_Colaborador]]&amp;";"</f>
        <v>FERNANDO ANTUNES MONTEIRO;</v>
      </c>
    </row>
    <row r="129" spans="1:11" hidden="1" x14ac:dyDescent="0.3">
      <c r="A129" s="12" t="s">
        <v>158</v>
      </c>
      <c r="B129" s="2">
        <v>0</v>
      </c>
      <c r="C129" s="2">
        <v>0</v>
      </c>
      <c r="D129" s="10" t="s">
        <v>356</v>
      </c>
      <c r="E129" t="str">
        <f>_xlfn.XLOOKUP(Tabela2[[#This Row],[Nome_Colaborador]],[1]Planilha1!$A:$A,[1]Planilha1!$B:$B,"")</f>
        <v>MARCOS</v>
      </c>
      <c r="F129" t="s">
        <v>86</v>
      </c>
      <c r="G12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29" t="s">
        <v>92</v>
      </c>
      <c r="J129">
        <v>0</v>
      </c>
      <c r="K129" t="str">
        <f>Tabela2[[#This Row],[Nome_Colaborador]]&amp;";"</f>
        <v>CARLOS ALEXANDRE MORONA;</v>
      </c>
    </row>
    <row r="130" spans="1:11" hidden="1" x14ac:dyDescent="0.3">
      <c r="A130" s="15" t="s">
        <v>159</v>
      </c>
      <c r="B130" s="2">
        <v>0</v>
      </c>
      <c r="C130" s="2">
        <v>0</v>
      </c>
      <c r="D130" s="10" t="s">
        <v>356</v>
      </c>
      <c r="E130" t="str">
        <f>_xlfn.XLOOKUP(Tabela2[[#This Row],[Nome_Colaborador]],[1]Planilha1!$A:$A,[1]Planilha1!$B:$B,"")</f>
        <v>MARCOS</v>
      </c>
      <c r="F130" t="s">
        <v>86</v>
      </c>
      <c r="G13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0" t="s">
        <v>92</v>
      </c>
      <c r="J130">
        <v>0</v>
      </c>
      <c r="K130" t="str">
        <f>Tabela2[[#This Row],[Nome_Colaborador]]&amp;";"</f>
        <v>TIAGO CALLEGARI DA SILVA;</v>
      </c>
    </row>
    <row r="131" spans="1:11" hidden="1" x14ac:dyDescent="0.3">
      <c r="A131" s="12" t="s">
        <v>160</v>
      </c>
      <c r="B131" s="2">
        <v>0</v>
      </c>
      <c r="C131" s="2">
        <v>0</v>
      </c>
      <c r="D131" s="10" t="s">
        <v>356</v>
      </c>
      <c r="E131" t="str">
        <f>_xlfn.XLOOKUP(Tabela2[[#This Row],[Nome_Colaborador]],[1]Planilha1!$A:$A,[1]Planilha1!$B:$B,"")</f>
        <v>MARCOS</v>
      </c>
      <c r="F131" t="s">
        <v>86</v>
      </c>
      <c r="G13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1" t="s">
        <v>92</v>
      </c>
      <c r="J131">
        <v>0</v>
      </c>
      <c r="K131" t="str">
        <f>Tabela2[[#This Row],[Nome_Colaborador]]&amp;";"</f>
        <v>KAUANE TCHEYSE PLOMBON DOS SANTOS;</v>
      </c>
    </row>
    <row r="132" spans="1:11" hidden="1" x14ac:dyDescent="0.3">
      <c r="A132" s="12" t="s">
        <v>161</v>
      </c>
      <c r="B132" s="2">
        <v>0</v>
      </c>
      <c r="C132" s="2">
        <v>0</v>
      </c>
      <c r="D132" s="10" t="s">
        <v>356</v>
      </c>
      <c r="E132" t="str">
        <f>_xlfn.XLOOKUP(Tabela2[[#This Row],[Nome_Colaborador]],[1]Planilha1!$A:$A,[1]Planilha1!$B:$B,"")</f>
        <v>MARCOS</v>
      </c>
      <c r="F132" t="s">
        <v>86</v>
      </c>
      <c r="G13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2" t="s">
        <v>92</v>
      </c>
      <c r="J132">
        <v>0</v>
      </c>
      <c r="K132" t="str">
        <f>Tabela2[[#This Row],[Nome_Colaborador]]&amp;";"</f>
        <v>LUCIANE ALVES DE PADUA;</v>
      </c>
    </row>
    <row r="133" spans="1:11" hidden="1" x14ac:dyDescent="0.3">
      <c r="A133" s="12" t="s">
        <v>162</v>
      </c>
      <c r="B133" s="2">
        <v>0</v>
      </c>
      <c r="C133" s="2">
        <v>0</v>
      </c>
      <c r="D133" s="10" t="s">
        <v>356</v>
      </c>
      <c r="E133" t="str">
        <f>_xlfn.XLOOKUP(Tabela2[[#This Row],[Nome_Colaborador]],[1]Planilha1!$A:$A,[1]Planilha1!$B:$B,"")</f>
        <v>MARCOS</v>
      </c>
      <c r="F133" t="s">
        <v>86</v>
      </c>
      <c r="G13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3" t="s">
        <v>92</v>
      </c>
      <c r="J133">
        <v>0</v>
      </c>
      <c r="K133" t="str">
        <f>Tabela2[[#This Row],[Nome_Colaborador]]&amp;";"</f>
        <v>FERNANDO DOROCZ;</v>
      </c>
    </row>
    <row r="134" spans="1:11" hidden="1" x14ac:dyDescent="0.3">
      <c r="A134" s="12" t="s">
        <v>163</v>
      </c>
      <c r="B134" s="2">
        <v>0</v>
      </c>
      <c r="C134" s="2">
        <v>0</v>
      </c>
      <c r="D134" s="10" t="s">
        <v>356</v>
      </c>
      <c r="E134" t="str">
        <f>_xlfn.XLOOKUP(Tabela2[[#This Row],[Nome_Colaborador]],[1]Planilha1!$A:$A,[1]Planilha1!$B:$B,"")</f>
        <v>MARCOS</v>
      </c>
      <c r="F134" t="s">
        <v>86</v>
      </c>
      <c r="G13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4" t="s">
        <v>92</v>
      </c>
      <c r="J134">
        <v>0</v>
      </c>
      <c r="K134" t="str">
        <f>Tabela2[[#This Row],[Nome_Colaborador]]&amp;";"</f>
        <v>LETICIA BEZERRO;</v>
      </c>
    </row>
    <row r="135" spans="1:11" hidden="1" x14ac:dyDescent="0.3">
      <c r="A135" s="12" t="s">
        <v>164</v>
      </c>
      <c r="B135" s="2">
        <v>0</v>
      </c>
      <c r="C135" s="2">
        <v>0</v>
      </c>
      <c r="D135" s="10" t="s">
        <v>356</v>
      </c>
      <c r="E135" t="str">
        <f>_xlfn.XLOOKUP(Tabela2[[#This Row],[Nome_Colaborador]],[1]Planilha1!$A:$A,[1]Planilha1!$B:$B,"")</f>
        <v>MARCOS</v>
      </c>
      <c r="F135" t="s">
        <v>86</v>
      </c>
      <c r="G13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5" t="s">
        <v>92</v>
      </c>
      <c r="J135">
        <v>0</v>
      </c>
      <c r="K135" t="str">
        <f>Tabela2[[#This Row],[Nome_Colaborador]]&amp;";"</f>
        <v>CAMILA BIANCO GREIN;</v>
      </c>
    </row>
    <row r="136" spans="1:11" hidden="1" x14ac:dyDescent="0.3">
      <c r="A136" s="15" t="s">
        <v>165</v>
      </c>
      <c r="B136" s="2">
        <v>0</v>
      </c>
      <c r="C136" s="2">
        <v>0</v>
      </c>
      <c r="D136" s="10" t="s">
        <v>356</v>
      </c>
      <c r="E136" t="str">
        <f>_xlfn.XLOOKUP(Tabela2[[#This Row],[Nome_Colaborador]],[1]Planilha1!$A:$A,[1]Planilha1!$B:$B,"")</f>
        <v>MARCOS</v>
      </c>
      <c r="F136" t="s">
        <v>86</v>
      </c>
      <c r="G13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6" t="s">
        <v>92</v>
      </c>
      <c r="J136">
        <v>0</v>
      </c>
      <c r="K136" t="str">
        <f>Tabela2[[#This Row],[Nome_Colaborador]]&amp;";"</f>
        <v>MONICK GIBIKOSKI;</v>
      </c>
    </row>
    <row r="137" spans="1:11" hidden="1" x14ac:dyDescent="0.3">
      <c r="A137" s="12" t="s">
        <v>166</v>
      </c>
      <c r="B137" s="2">
        <v>0</v>
      </c>
      <c r="C137" s="2">
        <v>0</v>
      </c>
      <c r="D137" s="10" t="s">
        <v>356</v>
      </c>
      <c r="E137" t="str">
        <f>_xlfn.XLOOKUP(Tabela2[[#This Row],[Nome_Colaborador]],[1]Planilha1!$A:$A,[1]Planilha1!$B:$B,"")</f>
        <v>MARCOS</v>
      </c>
      <c r="F137" t="s">
        <v>86</v>
      </c>
      <c r="G13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7" t="s">
        <v>92</v>
      </c>
      <c r="J137">
        <v>0</v>
      </c>
      <c r="K137" t="str">
        <f>Tabela2[[#This Row],[Nome_Colaborador]]&amp;";"</f>
        <v>CRISTHINE GONÇALVES DE PAULA;</v>
      </c>
    </row>
    <row r="138" spans="1:11" hidden="1" x14ac:dyDescent="0.3">
      <c r="A138" s="12" t="s">
        <v>167</v>
      </c>
      <c r="B138" s="2">
        <v>0</v>
      </c>
      <c r="C138" s="2">
        <v>0</v>
      </c>
      <c r="D138" s="10" t="s">
        <v>356</v>
      </c>
      <c r="E138" t="str">
        <f>_xlfn.XLOOKUP(Tabela2[[#This Row],[Nome_Colaborador]],[1]Planilha1!$A:$A,[1]Planilha1!$B:$B,"")</f>
        <v>MARCOS</v>
      </c>
      <c r="F138" t="s">
        <v>86</v>
      </c>
      <c r="G13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8" t="s">
        <v>92</v>
      </c>
      <c r="J138">
        <v>0</v>
      </c>
      <c r="K138" t="str">
        <f>Tabela2[[#This Row],[Nome_Colaborador]]&amp;";"</f>
        <v>Cristina Rodrigues da Silva;</v>
      </c>
    </row>
    <row r="139" spans="1:11" hidden="1" x14ac:dyDescent="0.3">
      <c r="A139" s="12" t="s">
        <v>168</v>
      </c>
      <c r="B139" s="2">
        <v>0</v>
      </c>
      <c r="C139" s="2">
        <v>0</v>
      </c>
      <c r="D139" s="10" t="s">
        <v>356</v>
      </c>
      <c r="E139" t="str">
        <f>_xlfn.XLOOKUP(Tabela2[[#This Row],[Nome_Colaborador]],[1]Planilha1!$A:$A,[1]Planilha1!$B:$B,"")</f>
        <v>MARCOS</v>
      </c>
      <c r="F139" t="s">
        <v>86</v>
      </c>
      <c r="G13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39" t="s">
        <v>92</v>
      </c>
      <c r="J139">
        <v>0</v>
      </c>
      <c r="K139" t="str">
        <f>Tabela2[[#This Row],[Nome_Colaborador]]&amp;";"</f>
        <v>DAIANE JAQUES DE PAULA;</v>
      </c>
    </row>
    <row r="140" spans="1:11" hidden="1" x14ac:dyDescent="0.3">
      <c r="A140" s="12" t="s">
        <v>169</v>
      </c>
      <c r="B140" s="2">
        <v>0</v>
      </c>
      <c r="C140" s="2">
        <v>0</v>
      </c>
      <c r="D140" s="10" t="s">
        <v>356</v>
      </c>
      <c r="E140" t="str">
        <f>_xlfn.XLOOKUP(Tabela2[[#This Row],[Nome_Colaborador]],[1]Planilha1!$A:$A,[1]Planilha1!$B:$B,"")</f>
        <v>MARCOS</v>
      </c>
      <c r="F140" t="s">
        <v>86</v>
      </c>
      <c r="G14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0" t="s">
        <v>92</v>
      </c>
      <c r="J140">
        <v>0</v>
      </c>
      <c r="K140" t="str">
        <f>Tabela2[[#This Row],[Nome_Colaborador]]&amp;";"</f>
        <v>DEBORA FRANCOA DOS SANTOS;</v>
      </c>
    </row>
    <row r="141" spans="1:11" hidden="1" x14ac:dyDescent="0.3">
      <c r="A141" s="12" t="s">
        <v>170</v>
      </c>
      <c r="B141" s="2">
        <v>0</v>
      </c>
      <c r="C141" s="2">
        <v>0</v>
      </c>
      <c r="D141" s="10" t="s">
        <v>356</v>
      </c>
      <c r="E141" t="str">
        <f>_xlfn.XLOOKUP(Tabela2[[#This Row],[Nome_Colaborador]],[1]Planilha1!$A:$A,[1]Planilha1!$B:$B,"")</f>
        <v>MARCOS</v>
      </c>
      <c r="F141" t="s">
        <v>86</v>
      </c>
      <c r="G14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1" t="s">
        <v>92</v>
      </c>
      <c r="J141">
        <v>0</v>
      </c>
      <c r="K141" t="str">
        <f>Tabela2[[#This Row],[Nome_Colaborador]]&amp;";"</f>
        <v>DOUGLAS DA SILVA SCHAFER;</v>
      </c>
    </row>
    <row r="142" spans="1:11" hidden="1" x14ac:dyDescent="0.3">
      <c r="A142" s="3" t="s">
        <v>171</v>
      </c>
      <c r="B142" s="2">
        <v>0</v>
      </c>
      <c r="C142" s="2">
        <v>0</v>
      </c>
      <c r="D142" s="10" t="s">
        <v>356</v>
      </c>
      <c r="E142" t="str">
        <f>_xlfn.XLOOKUP(Tabela2[[#This Row],[Nome_Colaborador]],[1]Planilha1!$A:$A,[1]Planilha1!$B:$B,"")</f>
        <v>MARCOS</v>
      </c>
      <c r="F142" t="s">
        <v>86</v>
      </c>
      <c r="G14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2" t="s">
        <v>92</v>
      </c>
      <c r="J142">
        <v>0</v>
      </c>
      <c r="K142" t="str">
        <f>Tabela2[[#This Row],[Nome_Colaborador]]&amp;";"</f>
        <v>ELIDIA ABREU SILVA;</v>
      </c>
    </row>
    <row r="143" spans="1:11" hidden="1" x14ac:dyDescent="0.3">
      <c r="A143" s="12" t="s">
        <v>172</v>
      </c>
      <c r="B143" s="2">
        <v>0</v>
      </c>
      <c r="C143" s="2">
        <v>0</v>
      </c>
      <c r="D143" s="10" t="s">
        <v>356</v>
      </c>
      <c r="E143" t="str">
        <f>_xlfn.XLOOKUP(Tabela2[[#This Row],[Nome_Colaborador]],[1]Planilha1!$A:$A,[1]Planilha1!$B:$B,"")</f>
        <v>MARCOS</v>
      </c>
      <c r="F143" t="s">
        <v>86</v>
      </c>
      <c r="G14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3" t="s">
        <v>92</v>
      </c>
      <c r="J143">
        <v>0</v>
      </c>
      <c r="K143" t="str">
        <f>Tabela2[[#This Row],[Nome_Colaborador]]&amp;";"</f>
        <v>EURO KLEBER RAMOS JUNIOR;</v>
      </c>
    </row>
    <row r="144" spans="1:11" hidden="1" x14ac:dyDescent="0.3">
      <c r="A144" s="12" t="s">
        <v>173</v>
      </c>
      <c r="B144" s="2">
        <v>0</v>
      </c>
      <c r="C144" s="2">
        <v>0</v>
      </c>
      <c r="D144" s="10" t="s">
        <v>356</v>
      </c>
      <c r="E144" t="str">
        <f>_xlfn.XLOOKUP(Tabela2[[#This Row],[Nome_Colaborador]],[1]Planilha1!$A:$A,[1]Planilha1!$B:$B,"")</f>
        <v>MARCOS</v>
      </c>
      <c r="F144" t="s">
        <v>86</v>
      </c>
      <c r="G14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4" t="s">
        <v>92</v>
      </c>
      <c r="J144">
        <v>0</v>
      </c>
      <c r="K144" t="str">
        <f>Tabela2[[#This Row],[Nome_Colaborador]]&amp;";"</f>
        <v>FABIANO BUENO DE ALVARENGA;</v>
      </c>
    </row>
    <row r="145" spans="1:11" hidden="1" x14ac:dyDescent="0.3">
      <c r="A145" s="12" t="s">
        <v>174</v>
      </c>
      <c r="B145" s="2">
        <v>0</v>
      </c>
      <c r="C145" s="2">
        <v>0</v>
      </c>
      <c r="D145" s="10" t="s">
        <v>356</v>
      </c>
      <c r="E145" t="str">
        <f>_xlfn.XLOOKUP(Tabela2[[#This Row],[Nome_Colaborador]],[1]Planilha1!$A:$A,[1]Planilha1!$B:$B,"")</f>
        <v>MARCOS</v>
      </c>
      <c r="F145" t="s">
        <v>86</v>
      </c>
      <c r="G14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5" t="s">
        <v>92</v>
      </c>
      <c r="J145">
        <v>0</v>
      </c>
      <c r="K145" t="str">
        <f>Tabela2[[#This Row],[Nome_Colaborador]]&amp;";"</f>
        <v>FABIO LUIS RODRIGUES DE LEMOS;</v>
      </c>
    </row>
    <row r="146" spans="1:11" hidden="1" x14ac:dyDescent="0.3">
      <c r="A146" s="12" t="s">
        <v>175</v>
      </c>
      <c r="B146" s="2">
        <v>0</v>
      </c>
      <c r="C146" s="2">
        <v>0</v>
      </c>
      <c r="D146" s="10" t="s">
        <v>356</v>
      </c>
      <c r="E146" t="str">
        <f>_xlfn.XLOOKUP(Tabela2[[#This Row],[Nome_Colaborador]],[1]Planilha1!$A:$A,[1]Planilha1!$B:$B,"")</f>
        <v>MARCOS</v>
      </c>
      <c r="F146" t="s">
        <v>86</v>
      </c>
      <c r="G14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6" t="s">
        <v>92</v>
      </c>
      <c r="J146">
        <v>0</v>
      </c>
      <c r="K146" t="str">
        <f>Tabela2[[#This Row],[Nome_Colaborador]]&amp;";"</f>
        <v>Fatury Protesto;</v>
      </c>
    </row>
    <row r="147" spans="1:11" hidden="1" x14ac:dyDescent="0.3">
      <c r="A147" s="12" t="s">
        <v>176</v>
      </c>
      <c r="B147" s="2">
        <v>0</v>
      </c>
      <c r="C147" s="2">
        <v>0</v>
      </c>
      <c r="D147" s="10" t="s">
        <v>356</v>
      </c>
      <c r="E147" t="str">
        <f>_xlfn.XLOOKUP(Tabela2[[#This Row],[Nome_Colaborador]],[1]Planilha1!$A:$A,[1]Planilha1!$B:$B,"")</f>
        <v>MARCOS</v>
      </c>
      <c r="F147" t="s">
        <v>86</v>
      </c>
      <c r="G14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7" t="s">
        <v>92</v>
      </c>
      <c r="J147">
        <v>0</v>
      </c>
      <c r="K147" t="str">
        <f>Tabela2[[#This Row],[Nome_Colaborador]]&amp;";"</f>
        <v>FELIPE ROSSINI CARVALHO;</v>
      </c>
    </row>
    <row r="148" spans="1:11" hidden="1" x14ac:dyDescent="0.3">
      <c r="A148" s="12" t="s">
        <v>177</v>
      </c>
      <c r="B148" s="2">
        <v>0</v>
      </c>
      <c r="C148" s="2">
        <v>0</v>
      </c>
      <c r="D148" s="10" t="s">
        <v>356</v>
      </c>
      <c r="E148" t="str">
        <f>_xlfn.XLOOKUP(Tabela2[[#This Row],[Nome_Colaborador]],[1]Planilha1!$A:$A,[1]Planilha1!$B:$B,"")</f>
        <v>MARCOS</v>
      </c>
      <c r="F148" t="s">
        <v>86</v>
      </c>
      <c r="G14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8" t="s">
        <v>92</v>
      </c>
      <c r="J148">
        <v>0</v>
      </c>
      <c r="K148" t="str">
        <f>Tabela2[[#This Row],[Nome_Colaborador]]&amp;";"</f>
        <v>GABRIEL FELIPE DO AMARAL SLEDZ;</v>
      </c>
    </row>
    <row r="149" spans="1:11" hidden="1" x14ac:dyDescent="0.3">
      <c r="A149" s="12" t="s">
        <v>178</v>
      </c>
      <c r="B149" s="2">
        <v>0</v>
      </c>
      <c r="C149" s="2">
        <v>0</v>
      </c>
      <c r="D149" s="10" t="s">
        <v>356</v>
      </c>
      <c r="E149" t="str">
        <f>_xlfn.XLOOKUP(Tabela2[[#This Row],[Nome_Colaborador]],[1]Planilha1!$A:$A,[1]Planilha1!$B:$B,"")</f>
        <v>MARCOS</v>
      </c>
      <c r="F149" t="s">
        <v>86</v>
      </c>
      <c r="G14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49" t="s">
        <v>92</v>
      </c>
      <c r="J149">
        <v>0</v>
      </c>
      <c r="K149" t="str">
        <f>Tabela2[[#This Row],[Nome_Colaborador]]&amp;";"</f>
        <v>EDUARDO PRATES MARTINS;</v>
      </c>
    </row>
    <row r="150" spans="1:11" hidden="1" x14ac:dyDescent="0.3">
      <c r="A150" s="12" t="s">
        <v>179</v>
      </c>
      <c r="B150" s="2">
        <v>0</v>
      </c>
      <c r="C150" s="2">
        <v>0</v>
      </c>
      <c r="D150" s="10" t="s">
        <v>356</v>
      </c>
      <c r="E150" t="str">
        <f>_xlfn.XLOOKUP(Tabela2[[#This Row],[Nome_Colaborador]],[1]Planilha1!$A:$A,[1]Planilha1!$B:$B,"")</f>
        <v>MARCOS</v>
      </c>
      <c r="F150" t="s">
        <v>86</v>
      </c>
      <c r="G15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0" t="s">
        <v>92</v>
      </c>
      <c r="J150">
        <v>0</v>
      </c>
      <c r="K150" t="str">
        <f>Tabela2[[#This Row],[Nome_Colaborador]]&amp;";"</f>
        <v>GABRIEL VICTOR SANTOS DE PAULA;</v>
      </c>
    </row>
    <row r="151" spans="1:11" hidden="1" x14ac:dyDescent="0.3">
      <c r="A151" s="12" t="s">
        <v>180</v>
      </c>
      <c r="B151" s="2">
        <v>0</v>
      </c>
      <c r="C151" s="2">
        <v>0</v>
      </c>
      <c r="D151" s="10" t="s">
        <v>356</v>
      </c>
      <c r="E151" t="str">
        <f>_xlfn.XLOOKUP(Tabela2[[#This Row],[Nome_Colaborador]],[1]Planilha1!$A:$A,[1]Planilha1!$B:$B,"")</f>
        <v>MARCOS</v>
      </c>
      <c r="F151" t="s">
        <v>86</v>
      </c>
      <c r="G15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1" t="s">
        <v>92</v>
      </c>
      <c r="J151">
        <v>0</v>
      </c>
      <c r="K151" t="str">
        <f>Tabela2[[#This Row],[Nome_Colaborador]]&amp;";"</f>
        <v>GABRIELE FERNANDES DE SOUZA;</v>
      </c>
    </row>
    <row r="152" spans="1:11" hidden="1" x14ac:dyDescent="0.3">
      <c r="A152" s="12" t="s">
        <v>181</v>
      </c>
      <c r="B152" s="2">
        <v>0</v>
      </c>
      <c r="C152" s="2">
        <v>0</v>
      </c>
      <c r="D152" s="10" t="s">
        <v>356</v>
      </c>
      <c r="E152" t="str">
        <f>_xlfn.XLOOKUP(Tabela2[[#This Row],[Nome_Colaborador]],[1]Planilha1!$A:$A,[1]Planilha1!$B:$B,"")</f>
        <v>MARCOS</v>
      </c>
      <c r="F152" t="s">
        <v>86</v>
      </c>
      <c r="G15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2" t="s">
        <v>92</v>
      </c>
      <c r="J152">
        <v>0</v>
      </c>
      <c r="K152" t="str">
        <f>Tabela2[[#This Row],[Nome_Colaborador]]&amp;";"</f>
        <v>GILDA APARECIDA DA SILVA;</v>
      </c>
    </row>
    <row r="153" spans="1:11" hidden="1" x14ac:dyDescent="0.3">
      <c r="A153" s="15" t="s">
        <v>182</v>
      </c>
      <c r="B153" s="2">
        <v>0</v>
      </c>
      <c r="C153" s="2">
        <v>0</v>
      </c>
      <c r="D153" s="10" t="s">
        <v>356</v>
      </c>
      <c r="E153" t="str">
        <f>_xlfn.XLOOKUP(Tabela2[[#This Row],[Nome_Colaborador]],[1]Planilha1!$A:$A,[1]Planilha1!$B:$B,"")</f>
        <v>MARCOS</v>
      </c>
      <c r="F153" t="s">
        <v>86</v>
      </c>
      <c r="G15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3" t="s">
        <v>92</v>
      </c>
      <c r="J153">
        <v>0</v>
      </c>
      <c r="K153" t="str">
        <f>Tabela2[[#This Row],[Nome_Colaborador]]&amp;";"</f>
        <v>HENRIQUE SCARPELLI IGLESIAS VIEIRA;</v>
      </c>
    </row>
    <row r="154" spans="1:11" hidden="1" x14ac:dyDescent="0.3">
      <c r="A154" s="15" t="s">
        <v>183</v>
      </c>
      <c r="B154" s="2">
        <v>0</v>
      </c>
      <c r="C154" s="2">
        <v>0</v>
      </c>
      <c r="D154" s="10" t="s">
        <v>356</v>
      </c>
      <c r="E154" t="str">
        <f>_xlfn.XLOOKUP(Tabela2[[#This Row],[Nome_Colaborador]],[1]Planilha1!$A:$A,[1]Planilha1!$B:$B,"")</f>
        <v>MARCOS</v>
      </c>
      <c r="F154" t="s">
        <v>86</v>
      </c>
      <c r="G15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4" t="s">
        <v>92</v>
      </c>
      <c r="J154">
        <v>0</v>
      </c>
      <c r="K154" t="str">
        <f>Tabela2[[#This Row],[Nome_Colaborador]]&amp;";"</f>
        <v>HERITON LUIS DA SILVA FRANCO;</v>
      </c>
    </row>
    <row r="155" spans="1:11" hidden="1" x14ac:dyDescent="0.3">
      <c r="A155" s="15" t="s">
        <v>184</v>
      </c>
      <c r="B155" s="2">
        <v>0</v>
      </c>
      <c r="C155" s="2">
        <v>0</v>
      </c>
      <c r="D155" s="10" t="s">
        <v>356</v>
      </c>
      <c r="E155" t="str">
        <f>_xlfn.XLOOKUP(Tabela2[[#This Row],[Nome_Colaborador]],[1]Planilha1!$A:$A,[1]Planilha1!$B:$B,"")</f>
        <v>MARCOS</v>
      </c>
      <c r="F155" t="s">
        <v>86</v>
      </c>
      <c r="G15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5" t="s">
        <v>92</v>
      </c>
      <c r="J155">
        <v>0</v>
      </c>
      <c r="K155" t="str">
        <f>Tabela2[[#This Row],[Nome_Colaborador]]&amp;";"</f>
        <v>KARYN CRISTINE GROSSMAN PACHECO;</v>
      </c>
    </row>
    <row r="156" spans="1:11" hidden="1" x14ac:dyDescent="0.3">
      <c r="A156" s="12" t="s">
        <v>185</v>
      </c>
      <c r="B156" s="2">
        <v>0</v>
      </c>
      <c r="C156" s="2">
        <v>0</v>
      </c>
      <c r="D156" s="10" t="s">
        <v>356</v>
      </c>
      <c r="E156" t="str">
        <f>_xlfn.XLOOKUP(Tabela2[[#This Row],[Nome_Colaborador]],[1]Planilha1!$A:$A,[1]Planilha1!$B:$B,"")</f>
        <v>MARCOS</v>
      </c>
      <c r="F156" t="s">
        <v>86</v>
      </c>
      <c r="G15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6" t="s">
        <v>92</v>
      </c>
      <c r="J156">
        <v>0</v>
      </c>
      <c r="K156" t="str">
        <f>Tabela2[[#This Row],[Nome_Colaborador]]&amp;";"</f>
        <v>KEILA DOS SANTOS GONCALVES;</v>
      </c>
    </row>
    <row r="157" spans="1:11" hidden="1" x14ac:dyDescent="0.3">
      <c r="A157" s="12" t="s">
        <v>186</v>
      </c>
      <c r="B157" s="2">
        <v>0</v>
      </c>
      <c r="C157" s="2">
        <v>0</v>
      </c>
      <c r="D157" s="10" t="s">
        <v>356</v>
      </c>
      <c r="E157" t="str">
        <f>_xlfn.XLOOKUP(Tabela2[[#This Row],[Nome_Colaborador]],[1]Planilha1!$A:$A,[1]Planilha1!$B:$B,"")</f>
        <v>MARCOS</v>
      </c>
      <c r="F157" t="s">
        <v>86</v>
      </c>
      <c r="G15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7" t="s">
        <v>92</v>
      </c>
      <c r="J157">
        <v>0</v>
      </c>
      <c r="K157" t="str">
        <f>Tabela2[[#This Row],[Nome_Colaborador]]&amp;";"</f>
        <v>LUANA CRISTINA NASCIMENTO DA SILVA;</v>
      </c>
    </row>
    <row r="158" spans="1:11" hidden="1" x14ac:dyDescent="0.3">
      <c r="A158" s="12" t="s">
        <v>187</v>
      </c>
      <c r="B158" s="2">
        <v>0</v>
      </c>
      <c r="C158" s="2">
        <v>0</v>
      </c>
      <c r="D158" s="10" t="s">
        <v>356</v>
      </c>
      <c r="E158" t="str">
        <f>_xlfn.XLOOKUP(Tabela2[[#This Row],[Nome_Colaborador]],[1]Planilha1!$A:$A,[1]Planilha1!$B:$B,"")</f>
        <v>MARCOS</v>
      </c>
      <c r="F158" t="s">
        <v>86</v>
      </c>
      <c r="G15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8" t="s">
        <v>92</v>
      </c>
      <c r="J158">
        <v>0</v>
      </c>
      <c r="K158" t="str">
        <f>Tabela2[[#This Row],[Nome_Colaborador]]&amp;";"</f>
        <v>MAICON JHONE DA ROCHA RODRIGUES;</v>
      </c>
    </row>
    <row r="159" spans="1:11" hidden="1" x14ac:dyDescent="0.3">
      <c r="A159" s="12" t="s">
        <v>188</v>
      </c>
      <c r="B159" s="2">
        <v>0</v>
      </c>
      <c r="C159" s="2">
        <v>0</v>
      </c>
      <c r="D159" s="10" t="s">
        <v>356</v>
      </c>
      <c r="E159" t="str">
        <f>_xlfn.XLOOKUP(Tabela2[[#This Row],[Nome_Colaborador]],[1]Planilha1!$A:$A,[1]Planilha1!$B:$B,"")</f>
        <v>MARCOS</v>
      </c>
      <c r="F159" t="s">
        <v>86</v>
      </c>
      <c r="G15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59" t="s">
        <v>92</v>
      </c>
      <c r="J159">
        <v>0</v>
      </c>
      <c r="K159" t="str">
        <f>Tabela2[[#This Row],[Nome_Colaborador]]&amp;";"</f>
        <v>MATHEUS VINICIUS ALVES LIMA;</v>
      </c>
    </row>
    <row r="160" spans="1:11" hidden="1" x14ac:dyDescent="0.3">
      <c r="A160" s="12" t="s">
        <v>189</v>
      </c>
      <c r="B160" s="2">
        <v>0</v>
      </c>
      <c r="C160" s="2">
        <v>0</v>
      </c>
      <c r="D160" s="10" t="s">
        <v>356</v>
      </c>
      <c r="E160" t="str">
        <f>_xlfn.XLOOKUP(Tabela2[[#This Row],[Nome_Colaborador]],[1]Planilha1!$A:$A,[1]Planilha1!$B:$B,"")</f>
        <v>MARCOS</v>
      </c>
      <c r="F160" t="s">
        <v>86</v>
      </c>
      <c r="G16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0" t="s">
        <v>92</v>
      </c>
      <c r="J160">
        <v>0</v>
      </c>
      <c r="K160" t="str">
        <f>Tabela2[[#This Row],[Nome_Colaborador]]&amp;";"</f>
        <v>NEIVA ALVES DA SILVA SANT ANA;</v>
      </c>
    </row>
    <row r="161" spans="1:11" hidden="1" x14ac:dyDescent="0.3">
      <c r="A161" s="15" t="s">
        <v>190</v>
      </c>
      <c r="B161" s="2">
        <v>0</v>
      </c>
      <c r="C161" s="2">
        <v>0</v>
      </c>
      <c r="D161" s="10" t="s">
        <v>356</v>
      </c>
      <c r="E161" t="str">
        <f>_xlfn.XLOOKUP(Tabela2[[#This Row],[Nome_Colaborador]],[1]Planilha1!$A:$A,[1]Planilha1!$B:$B,"")</f>
        <v>MARCOS</v>
      </c>
      <c r="F161" t="s">
        <v>86</v>
      </c>
      <c r="G16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1" t="s">
        <v>92</v>
      </c>
      <c r="J161">
        <v>0</v>
      </c>
      <c r="K161" t="str">
        <f>Tabela2[[#This Row],[Nome_Colaborador]]&amp;";"</f>
        <v>NEIVA ALVES DA SILVA SANTANA;</v>
      </c>
    </row>
    <row r="162" spans="1:11" hidden="1" x14ac:dyDescent="0.3">
      <c r="A162" s="12" t="s">
        <v>191</v>
      </c>
      <c r="B162" s="2">
        <v>0</v>
      </c>
      <c r="C162" s="2">
        <v>0</v>
      </c>
      <c r="D162" s="10" t="s">
        <v>356</v>
      </c>
      <c r="E162" t="str">
        <f>_xlfn.XLOOKUP(Tabela2[[#This Row],[Nome_Colaborador]],[1]Planilha1!$A:$A,[1]Planilha1!$B:$B,"")</f>
        <v>MARCOS</v>
      </c>
      <c r="F162" t="s">
        <v>86</v>
      </c>
      <c r="G16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2" t="s">
        <v>92</v>
      </c>
      <c r="J162">
        <v>0</v>
      </c>
      <c r="K162" t="str">
        <f>Tabela2[[#This Row],[Nome_Colaborador]]&amp;";"</f>
        <v>ROSANA BRASILE;</v>
      </c>
    </row>
    <row r="163" spans="1:11" hidden="1" x14ac:dyDescent="0.3">
      <c r="A163" s="12" t="s">
        <v>192</v>
      </c>
      <c r="B163" s="2">
        <v>0</v>
      </c>
      <c r="C163" s="2">
        <v>0</v>
      </c>
      <c r="D163" s="10" t="s">
        <v>356</v>
      </c>
      <c r="E163" t="str">
        <f>_xlfn.XLOOKUP(Tabela2[[#This Row],[Nome_Colaborador]],[1]Planilha1!$A:$A,[1]Planilha1!$B:$B,"")</f>
        <v>MARCOS</v>
      </c>
      <c r="F163" t="s">
        <v>86</v>
      </c>
      <c r="G16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3" t="s">
        <v>92</v>
      </c>
      <c r="J163">
        <v>0</v>
      </c>
      <c r="K163" t="str">
        <f>Tabela2[[#This Row],[Nome_Colaborador]]&amp;";"</f>
        <v>ROSANGELA SILVERIO ASSUNCAO DE FREITAS;</v>
      </c>
    </row>
    <row r="164" spans="1:11" hidden="1" x14ac:dyDescent="0.3">
      <c r="A164" s="15" t="s">
        <v>193</v>
      </c>
      <c r="B164" s="2">
        <v>0</v>
      </c>
      <c r="C164" s="2">
        <v>0</v>
      </c>
      <c r="D164" s="10" t="s">
        <v>356</v>
      </c>
      <c r="E164" t="str">
        <f>_xlfn.XLOOKUP(Tabela2[[#This Row],[Nome_Colaborador]],[1]Planilha1!$A:$A,[1]Planilha1!$B:$B,"")</f>
        <v>MARCOS</v>
      </c>
      <c r="F164" t="s">
        <v>86</v>
      </c>
      <c r="G16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4" t="s">
        <v>92</v>
      </c>
      <c r="J164">
        <v>0</v>
      </c>
      <c r="K164" t="str">
        <f>Tabela2[[#This Row],[Nome_Colaborador]]&amp;";"</f>
        <v>SEBASTIAO DE OLIVEIRA PEREIRA NETO;</v>
      </c>
    </row>
    <row r="165" spans="1:11" hidden="1" x14ac:dyDescent="0.3">
      <c r="A165" s="12" t="s">
        <v>194</v>
      </c>
      <c r="B165" s="2">
        <v>0</v>
      </c>
      <c r="C165" s="2">
        <v>0</v>
      </c>
      <c r="D165" s="10" t="s">
        <v>356</v>
      </c>
      <c r="E165" t="str">
        <f>_xlfn.XLOOKUP(Tabela2[[#This Row],[Nome_Colaborador]],[1]Planilha1!$A:$A,[1]Planilha1!$B:$B,"")</f>
        <v>MARCOS</v>
      </c>
      <c r="F165" t="s">
        <v>86</v>
      </c>
      <c r="G16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5" t="s">
        <v>92</v>
      </c>
      <c r="J165">
        <v>0</v>
      </c>
      <c r="K165" t="str">
        <f>Tabela2[[#This Row],[Nome_Colaborador]]&amp;";"</f>
        <v>SILVIA ROBERTA ECKSTEIN;</v>
      </c>
    </row>
    <row r="166" spans="1:11" hidden="1" x14ac:dyDescent="0.3">
      <c r="A166" s="12" t="s">
        <v>195</v>
      </c>
      <c r="B166" s="2">
        <v>0</v>
      </c>
      <c r="C166" s="2">
        <v>0</v>
      </c>
      <c r="D166" s="10" t="s">
        <v>356</v>
      </c>
      <c r="E166" t="str">
        <f>_xlfn.XLOOKUP(Tabela2[[#This Row],[Nome_Colaborador]],[1]Planilha1!$A:$A,[1]Planilha1!$B:$B,"")</f>
        <v>MARCOS</v>
      </c>
      <c r="F166" t="s">
        <v>86</v>
      </c>
      <c r="G16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6" t="s">
        <v>92</v>
      </c>
      <c r="J166">
        <v>0</v>
      </c>
      <c r="K166" t="str">
        <f>Tabela2[[#This Row],[Nome_Colaborador]]&amp;";"</f>
        <v>TACYANE LUCIANA MAFRA FONTANA;</v>
      </c>
    </row>
    <row r="167" spans="1:11" hidden="1" x14ac:dyDescent="0.3">
      <c r="A167" s="12" t="s">
        <v>196</v>
      </c>
      <c r="B167" s="2">
        <v>0</v>
      </c>
      <c r="C167" s="2">
        <v>0</v>
      </c>
      <c r="D167" s="10" t="s">
        <v>356</v>
      </c>
      <c r="E167" t="str">
        <f>_xlfn.XLOOKUP(Tabela2[[#This Row],[Nome_Colaborador]],[1]Planilha1!$A:$A,[1]Planilha1!$B:$B,"")</f>
        <v>MARCOS</v>
      </c>
      <c r="F167" t="s">
        <v>86</v>
      </c>
      <c r="G16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7" t="s">
        <v>92</v>
      </c>
      <c r="J167">
        <v>0</v>
      </c>
      <c r="K167" t="str">
        <f>Tabela2[[#This Row],[Nome_Colaborador]]&amp;";"</f>
        <v>LORAYNE PADILHA CAMPOS;</v>
      </c>
    </row>
    <row r="168" spans="1:11" hidden="1" x14ac:dyDescent="0.3">
      <c r="A168" s="12" t="s">
        <v>197</v>
      </c>
      <c r="B168" s="2">
        <v>0</v>
      </c>
      <c r="C168" s="2">
        <v>0</v>
      </c>
      <c r="D168" s="10" t="s">
        <v>356</v>
      </c>
      <c r="E168" t="str">
        <f>_xlfn.XLOOKUP(Tabela2[[#This Row],[Nome_Colaborador]],[1]Planilha1!$A:$A,[1]Planilha1!$B:$B,"")</f>
        <v>MARCOS</v>
      </c>
      <c r="F168" t="s">
        <v>86</v>
      </c>
      <c r="G16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8" t="s">
        <v>92</v>
      </c>
      <c r="J168">
        <v>0</v>
      </c>
      <c r="K168" t="str">
        <f>Tabela2[[#This Row],[Nome_Colaborador]]&amp;";"</f>
        <v>WANDER RAGEMINSKI;</v>
      </c>
    </row>
    <row r="169" spans="1:11" hidden="1" x14ac:dyDescent="0.3">
      <c r="A169" s="12" t="s">
        <v>198</v>
      </c>
      <c r="B169" s="2">
        <v>0</v>
      </c>
      <c r="C169" s="2">
        <v>0</v>
      </c>
      <c r="D169" s="10" t="s">
        <v>356</v>
      </c>
      <c r="E169" t="str">
        <f>_xlfn.XLOOKUP(Tabela2[[#This Row],[Nome_Colaborador]],[1]Planilha1!$A:$A,[1]Planilha1!$B:$B,"")</f>
        <v>MARCOS</v>
      </c>
      <c r="F169" t="s">
        <v>86</v>
      </c>
      <c r="G16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69" t="s">
        <v>92</v>
      </c>
      <c r="J169">
        <v>0</v>
      </c>
      <c r="K169" t="str">
        <f>Tabela2[[#This Row],[Nome_Colaborador]]&amp;";"</f>
        <v>MIRNA ANARA SIQUEIRA LIMA DA SILVA;</v>
      </c>
    </row>
    <row r="170" spans="1:11" hidden="1" x14ac:dyDescent="0.3">
      <c r="A170" s="12" t="s">
        <v>199</v>
      </c>
      <c r="B170" s="2">
        <v>0</v>
      </c>
      <c r="C170" s="2">
        <v>0</v>
      </c>
      <c r="D170" s="10" t="s">
        <v>356</v>
      </c>
      <c r="E170" t="str">
        <f>_xlfn.XLOOKUP(Tabela2[[#This Row],[Nome_Colaborador]],[1]Planilha1!$A:$A,[1]Planilha1!$B:$B,"")</f>
        <v>MARCOS</v>
      </c>
      <c r="F170" t="s">
        <v>86</v>
      </c>
      <c r="G17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0" t="s">
        <v>92</v>
      </c>
      <c r="J170">
        <v>0</v>
      </c>
      <c r="K170" t="str">
        <f>Tabela2[[#This Row],[Nome_Colaborador]]&amp;";"</f>
        <v>TIAGO LUIS CUSTODIO;</v>
      </c>
    </row>
    <row r="171" spans="1:11" hidden="1" x14ac:dyDescent="0.3">
      <c r="A171" s="12" t="s">
        <v>200</v>
      </c>
      <c r="B171" s="2">
        <v>0</v>
      </c>
      <c r="C171" s="2">
        <v>0</v>
      </c>
      <c r="D171" s="10" t="s">
        <v>356</v>
      </c>
      <c r="E171" t="str">
        <f>_xlfn.XLOOKUP(Tabela2[[#This Row],[Nome_Colaborador]],[1]Planilha1!$A:$A,[1]Planilha1!$B:$B,"")</f>
        <v>MARCOS</v>
      </c>
      <c r="F171" t="s">
        <v>86</v>
      </c>
      <c r="G17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1" t="s">
        <v>92</v>
      </c>
      <c r="J171">
        <v>0</v>
      </c>
      <c r="K171" t="str">
        <f>Tabela2[[#This Row],[Nome_Colaborador]]&amp;";"</f>
        <v>DIEMESON SOUZA DOS SANTOS;</v>
      </c>
    </row>
    <row r="172" spans="1:11" hidden="1" x14ac:dyDescent="0.3">
      <c r="A172" s="12" t="s">
        <v>201</v>
      </c>
      <c r="B172" s="2">
        <v>0</v>
      </c>
      <c r="C172" s="2">
        <v>0</v>
      </c>
      <c r="D172" s="10" t="s">
        <v>356</v>
      </c>
      <c r="E172" t="str">
        <f>_xlfn.XLOOKUP(Tabela2[[#This Row],[Nome_Colaborador]],[1]Planilha1!$A:$A,[1]Planilha1!$B:$B,"")</f>
        <v>MARCOS</v>
      </c>
      <c r="F172" t="s">
        <v>86</v>
      </c>
      <c r="G17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2" t="s">
        <v>92</v>
      </c>
      <c r="J172">
        <v>0</v>
      </c>
      <c r="K172" t="str">
        <f>Tabela2[[#This Row],[Nome_Colaborador]]&amp;";"</f>
        <v>PAULO ROBERTO MULLER FILHO;</v>
      </c>
    </row>
    <row r="173" spans="1:11" hidden="1" x14ac:dyDescent="0.3">
      <c r="A173" s="12" t="s">
        <v>202</v>
      </c>
      <c r="B173" s="2">
        <v>0</v>
      </c>
      <c r="C173" s="2">
        <v>0</v>
      </c>
      <c r="D173" s="10" t="s">
        <v>356</v>
      </c>
      <c r="E173" t="str">
        <f>_xlfn.XLOOKUP(Tabela2[[#This Row],[Nome_Colaborador]],[1]Planilha1!$A:$A,[1]Planilha1!$B:$B,"")</f>
        <v>MARCOS</v>
      </c>
      <c r="F173" t="s">
        <v>86</v>
      </c>
      <c r="G17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3" t="s">
        <v>92</v>
      </c>
      <c r="J173">
        <v>0</v>
      </c>
      <c r="K173" t="str">
        <f>Tabela2[[#This Row],[Nome_Colaborador]]&amp;";"</f>
        <v>WESLEY SILVA DE SOUZA OLIVEIRA;</v>
      </c>
    </row>
    <row r="174" spans="1:11" hidden="1" x14ac:dyDescent="0.3">
      <c r="A174" s="12" t="s">
        <v>203</v>
      </c>
      <c r="B174" s="2">
        <v>0</v>
      </c>
      <c r="C174" s="2">
        <v>0</v>
      </c>
      <c r="D174" s="10" t="s">
        <v>356</v>
      </c>
      <c r="E174" t="str">
        <f>_xlfn.XLOOKUP(Tabela2[[#This Row],[Nome_Colaborador]],[1]Planilha1!$A:$A,[1]Planilha1!$B:$B,"")</f>
        <v>MARCOS</v>
      </c>
      <c r="F174" t="s">
        <v>86</v>
      </c>
      <c r="G17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4" t="s">
        <v>92</v>
      </c>
      <c r="J174">
        <v>0</v>
      </c>
      <c r="K174" t="str">
        <f>Tabela2[[#This Row],[Nome_Colaborador]]&amp;";"</f>
        <v>AMANDA GLIR PEDROSO;</v>
      </c>
    </row>
    <row r="175" spans="1:11" hidden="1" x14ac:dyDescent="0.3">
      <c r="A175" s="12" t="s">
        <v>204</v>
      </c>
      <c r="B175" s="2">
        <v>0</v>
      </c>
      <c r="C175" s="2">
        <v>0</v>
      </c>
      <c r="D175" s="10" t="s">
        <v>356</v>
      </c>
      <c r="E175" t="str">
        <f>_xlfn.XLOOKUP(Tabela2[[#This Row],[Nome_Colaborador]],[1]Planilha1!$A:$A,[1]Planilha1!$B:$B,"")</f>
        <v>MARCOS</v>
      </c>
      <c r="F175" t="s">
        <v>86</v>
      </c>
      <c r="G17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5" t="s">
        <v>92</v>
      </c>
      <c r="J175">
        <v>0</v>
      </c>
      <c r="K175" t="str">
        <f>Tabela2[[#This Row],[Nome_Colaborador]]&amp;";"</f>
        <v>TERESINHA MACHADO DA ROSA;</v>
      </c>
    </row>
    <row r="176" spans="1:11" hidden="1" x14ac:dyDescent="0.3">
      <c r="A176" s="12" t="s">
        <v>205</v>
      </c>
      <c r="B176" s="2">
        <v>0</v>
      </c>
      <c r="C176" s="2">
        <v>0</v>
      </c>
      <c r="D176" s="10" t="s">
        <v>356</v>
      </c>
      <c r="E176" t="str">
        <f>_xlfn.XLOOKUP(Tabela2[[#This Row],[Nome_Colaborador]],[1]Planilha1!$A:$A,[1]Planilha1!$B:$B,"")</f>
        <v>MARCOS</v>
      </c>
      <c r="F176" t="s">
        <v>86</v>
      </c>
      <c r="G17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6" t="s">
        <v>92</v>
      </c>
      <c r="J176">
        <v>0</v>
      </c>
      <c r="K176" t="str">
        <f>Tabela2[[#This Row],[Nome_Colaborador]]&amp;";"</f>
        <v>LARISSA GABRIELLY KAGUIMOTO SIGNORI;</v>
      </c>
    </row>
    <row r="177" spans="1:11" hidden="1" x14ac:dyDescent="0.3">
      <c r="A177" s="12" t="s">
        <v>206</v>
      </c>
      <c r="B177" s="2">
        <v>0</v>
      </c>
      <c r="C177" s="2">
        <v>0</v>
      </c>
      <c r="D177" s="10" t="s">
        <v>356</v>
      </c>
      <c r="E177" t="str">
        <f>_xlfn.XLOOKUP(Tabela2[[#This Row],[Nome_Colaborador]],[1]Planilha1!$A:$A,[1]Planilha1!$B:$B,"")</f>
        <v>MARCOS</v>
      </c>
      <c r="F177" t="s">
        <v>86</v>
      </c>
      <c r="G17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7" t="s">
        <v>92</v>
      </c>
      <c r="J177">
        <v>0</v>
      </c>
      <c r="K177" t="str">
        <f>Tabela2[[#This Row],[Nome_Colaborador]]&amp;";"</f>
        <v>TALITA LAYANE CHAVES PEREIRA;</v>
      </c>
    </row>
    <row r="178" spans="1:11" hidden="1" x14ac:dyDescent="0.3">
      <c r="A178" s="12" t="s">
        <v>207</v>
      </c>
      <c r="B178" s="2">
        <v>0</v>
      </c>
      <c r="C178" s="2">
        <v>0</v>
      </c>
      <c r="D178" s="10" t="s">
        <v>356</v>
      </c>
      <c r="E178" t="str">
        <f>_xlfn.XLOOKUP(Tabela2[[#This Row],[Nome_Colaborador]],[1]Planilha1!$A:$A,[1]Planilha1!$B:$B,"")</f>
        <v>MARCOS</v>
      </c>
      <c r="F178" t="s">
        <v>86</v>
      </c>
      <c r="G17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8" t="s">
        <v>92</v>
      </c>
      <c r="J178">
        <v>0</v>
      </c>
      <c r="K178" t="str">
        <f>Tabela2[[#This Row],[Nome_Colaborador]]&amp;";"</f>
        <v>SILVIA ELENA TEIXEIRA ROCHA;</v>
      </c>
    </row>
    <row r="179" spans="1:11" hidden="1" x14ac:dyDescent="0.3">
      <c r="A179" s="12" t="s">
        <v>208</v>
      </c>
      <c r="B179" s="2">
        <v>0</v>
      </c>
      <c r="C179" s="2">
        <v>0</v>
      </c>
      <c r="D179" s="10" t="s">
        <v>356</v>
      </c>
      <c r="E179" t="str">
        <f>_xlfn.XLOOKUP(Tabela2[[#This Row],[Nome_Colaborador]],[1]Planilha1!$A:$A,[1]Planilha1!$B:$B,"")</f>
        <v>MARCOS</v>
      </c>
      <c r="F179" t="s">
        <v>86</v>
      </c>
      <c r="G17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79" t="s">
        <v>92</v>
      </c>
      <c r="J179">
        <v>0</v>
      </c>
      <c r="K179" t="str">
        <f>Tabela2[[#This Row],[Nome_Colaborador]]&amp;";"</f>
        <v>VITOR HUGO PEREIRA DOS SANTOS;</v>
      </c>
    </row>
    <row r="180" spans="1:11" hidden="1" x14ac:dyDescent="0.3">
      <c r="A180" s="12" t="s">
        <v>209</v>
      </c>
      <c r="B180" s="2">
        <v>0</v>
      </c>
      <c r="C180" s="2">
        <v>0</v>
      </c>
      <c r="D180" s="10" t="s">
        <v>356</v>
      </c>
      <c r="E180" t="str">
        <f>_xlfn.XLOOKUP(Tabela2[[#This Row],[Nome_Colaborador]],[1]Planilha1!$A:$A,[1]Planilha1!$B:$B,"")</f>
        <v>MARCOS</v>
      </c>
      <c r="F180" t="s">
        <v>86</v>
      </c>
      <c r="G18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0" t="s">
        <v>92</v>
      </c>
      <c r="J180">
        <v>0</v>
      </c>
      <c r="K180" t="str">
        <f>Tabela2[[#This Row],[Nome_Colaborador]]&amp;";"</f>
        <v>LILIAN PREIS;</v>
      </c>
    </row>
    <row r="181" spans="1:11" hidden="1" x14ac:dyDescent="0.3">
      <c r="A181" s="12" t="s">
        <v>210</v>
      </c>
      <c r="B181" s="2">
        <v>0</v>
      </c>
      <c r="C181" s="2">
        <v>0</v>
      </c>
      <c r="D181" s="10" t="s">
        <v>356</v>
      </c>
      <c r="E181" t="str">
        <f>_xlfn.XLOOKUP(Tabela2[[#This Row],[Nome_Colaborador]],[1]Planilha1!$A:$A,[1]Planilha1!$B:$B,"")</f>
        <v>MARCOS</v>
      </c>
      <c r="F181" t="s">
        <v>86</v>
      </c>
      <c r="G18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1" t="s">
        <v>92</v>
      </c>
      <c r="J181">
        <v>0</v>
      </c>
      <c r="K181" t="str">
        <f>Tabela2[[#This Row],[Nome_Colaborador]]&amp;";"</f>
        <v>CRISTHIELY DA CUNHA;</v>
      </c>
    </row>
    <row r="182" spans="1:11" hidden="1" x14ac:dyDescent="0.3">
      <c r="A182" s="12" t="s">
        <v>211</v>
      </c>
      <c r="B182" s="2">
        <v>0</v>
      </c>
      <c r="C182" s="2">
        <v>0</v>
      </c>
      <c r="D182" s="10" t="s">
        <v>356</v>
      </c>
      <c r="E182" t="str">
        <f>_xlfn.XLOOKUP(Tabela2[[#This Row],[Nome_Colaborador]],[1]Planilha1!$A:$A,[1]Planilha1!$B:$B,"")</f>
        <v>MARCOS</v>
      </c>
      <c r="F182" t="s">
        <v>86</v>
      </c>
      <c r="G18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2" t="s">
        <v>92</v>
      </c>
      <c r="J182">
        <v>0</v>
      </c>
      <c r="K182" t="str">
        <f>Tabela2[[#This Row],[Nome_Colaborador]]&amp;";"</f>
        <v>DOUGLAS LOPES;</v>
      </c>
    </row>
    <row r="183" spans="1:11" hidden="1" x14ac:dyDescent="0.3">
      <c r="A183" s="12" t="s">
        <v>212</v>
      </c>
      <c r="B183" s="2">
        <v>0</v>
      </c>
      <c r="C183" s="2">
        <v>0</v>
      </c>
      <c r="D183" s="10" t="s">
        <v>356</v>
      </c>
      <c r="E183" t="str">
        <f>_xlfn.XLOOKUP(Tabela2[[#This Row],[Nome_Colaborador]],[1]Planilha1!$A:$A,[1]Planilha1!$B:$B,"")</f>
        <v>MARCOS</v>
      </c>
      <c r="F183" t="s">
        <v>86</v>
      </c>
      <c r="G18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3" t="s">
        <v>92</v>
      </c>
      <c r="J183">
        <v>0</v>
      </c>
      <c r="K183" t="str">
        <f>Tabela2[[#This Row],[Nome_Colaborador]]&amp;";"</f>
        <v>ROSILENE RODRIGUES MATOS GOUVEIA;</v>
      </c>
    </row>
    <row r="184" spans="1:11" hidden="1" x14ac:dyDescent="0.3">
      <c r="A184" s="12" t="s">
        <v>213</v>
      </c>
      <c r="B184" s="2">
        <v>0</v>
      </c>
      <c r="C184" s="2">
        <v>0</v>
      </c>
      <c r="D184" s="10" t="s">
        <v>356</v>
      </c>
      <c r="E184" t="str">
        <f>_xlfn.XLOOKUP(Tabela2[[#This Row],[Nome_Colaborador]],[1]Planilha1!$A:$A,[1]Planilha1!$B:$B,"")</f>
        <v>MARCOS</v>
      </c>
      <c r="F184" t="s">
        <v>86</v>
      </c>
      <c r="G18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4" t="s">
        <v>92</v>
      </c>
      <c r="J184">
        <v>0</v>
      </c>
      <c r="K184" t="str">
        <f>Tabela2[[#This Row],[Nome_Colaborador]]&amp;";"</f>
        <v>LEANDRO RAMOS;</v>
      </c>
    </row>
    <row r="185" spans="1:11" hidden="1" x14ac:dyDescent="0.3">
      <c r="A185" s="12" t="s">
        <v>214</v>
      </c>
      <c r="B185" s="2">
        <v>0</v>
      </c>
      <c r="C185" s="2">
        <v>0</v>
      </c>
      <c r="D185" s="10" t="s">
        <v>356</v>
      </c>
      <c r="E185" t="str">
        <f>_xlfn.XLOOKUP(Tabela2[[#This Row],[Nome_Colaborador]],[1]Planilha1!$A:$A,[1]Planilha1!$B:$B,"")</f>
        <v>MARCOS</v>
      </c>
      <c r="F185" t="s">
        <v>86</v>
      </c>
      <c r="G18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5" t="s">
        <v>92</v>
      </c>
      <c r="J185">
        <v>0</v>
      </c>
      <c r="K185" t="str">
        <f>Tabela2[[#This Row],[Nome_Colaborador]]&amp;";"</f>
        <v>BRUNA APARECIDA VIEIRA;</v>
      </c>
    </row>
    <row r="186" spans="1:11" hidden="1" x14ac:dyDescent="0.3">
      <c r="A186" s="12" t="s">
        <v>215</v>
      </c>
      <c r="B186" s="2">
        <v>0</v>
      </c>
      <c r="C186" s="2">
        <v>0</v>
      </c>
      <c r="D186" s="10" t="s">
        <v>356</v>
      </c>
      <c r="E186" t="str">
        <f>_xlfn.XLOOKUP(Tabela2[[#This Row],[Nome_Colaborador]],[1]Planilha1!$A:$A,[1]Planilha1!$B:$B,"")</f>
        <v>MARCOS</v>
      </c>
      <c r="F186" t="s">
        <v>86</v>
      </c>
      <c r="G18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6" t="s">
        <v>92</v>
      </c>
      <c r="J186">
        <v>0</v>
      </c>
      <c r="K186" t="str">
        <f>Tabela2[[#This Row],[Nome_Colaborador]]&amp;";"</f>
        <v>DOMINIQUE AKEMY NOGUCHI;</v>
      </c>
    </row>
    <row r="187" spans="1:11" hidden="1" x14ac:dyDescent="0.3">
      <c r="A187" s="12" t="s">
        <v>216</v>
      </c>
      <c r="B187" s="2">
        <v>0</v>
      </c>
      <c r="C187" s="2">
        <v>0</v>
      </c>
      <c r="D187" s="10" t="s">
        <v>356</v>
      </c>
      <c r="E187" t="str">
        <f>_xlfn.XLOOKUP(Tabela2[[#This Row],[Nome_Colaborador]],[1]Planilha1!$A:$A,[1]Planilha1!$B:$B,"")</f>
        <v>MARCOS</v>
      </c>
      <c r="F187" t="s">
        <v>86</v>
      </c>
      <c r="G18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7" t="s">
        <v>92</v>
      </c>
      <c r="J187">
        <v>0</v>
      </c>
      <c r="K187" t="str">
        <f>Tabela2[[#This Row],[Nome_Colaborador]]&amp;";"</f>
        <v>THAISSA GONCALVES DE OLIVEIRA DO NASCIMENTO;</v>
      </c>
    </row>
    <row r="188" spans="1:11" hidden="1" x14ac:dyDescent="0.3">
      <c r="A188" s="12" t="s">
        <v>217</v>
      </c>
      <c r="B188" s="2">
        <v>0</v>
      </c>
      <c r="C188" s="2">
        <v>0</v>
      </c>
      <c r="D188" s="10" t="s">
        <v>356</v>
      </c>
      <c r="E188" t="str">
        <f>_xlfn.XLOOKUP(Tabela2[[#This Row],[Nome_Colaborador]],[1]Planilha1!$A:$A,[1]Planilha1!$B:$B,"")</f>
        <v>MARCOS</v>
      </c>
      <c r="F188" t="s">
        <v>86</v>
      </c>
      <c r="G18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8" t="s">
        <v>92</v>
      </c>
      <c r="J188">
        <v>0</v>
      </c>
      <c r="K188" t="str">
        <f>Tabela2[[#This Row],[Nome_Colaborador]]&amp;";"</f>
        <v>ANA PAULA MOREIRA MUNHOZ LIMA;</v>
      </c>
    </row>
    <row r="189" spans="1:11" hidden="1" x14ac:dyDescent="0.3">
      <c r="A189" s="12" t="s">
        <v>218</v>
      </c>
      <c r="B189" s="2">
        <v>0</v>
      </c>
      <c r="C189" s="2">
        <v>0</v>
      </c>
      <c r="D189" s="10" t="s">
        <v>356</v>
      </c>
      <c r="E189" t="str">
        <f>_xlfn.XLOOKUP(Tabela2[[#This Row],[Nome_Colaborador]],[1]Planilha1!$A:$A,[1]Planilha1!$B:$B,"")</f>
        <v>MARCOS</v>
      </c>
      <c r="F189" t="s">
        <v>86</v>
      </c>
      <c r="G18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89" t="s">
        <v>92</v>
      </c>
      <c r="J189">
        <v>0</v>
      </c>
      <c r="K189" t="str">
        <f>Tabela2[[#This Row],[Nome_Colaborador]]&amp;";"</f>
        <v>GABRIELY PEDROSO FERNANDES;</v>
      </c>
    </row>
    <row r="190" spans="1:11" hidden="1" x14ac:dyDescent="0.3">
      <c r="A190" s="12" t="s">
        <v>219</v>
      </c>
      <c r="B190" s="2">
        <v>0</v>
      </c>
      <c r="C190" s="2">
        <v>0</v>
      </c>
      <c r="D190" s="10" t="s">
        <v>356</v>
      </c>
      <c r="E190" t="str">
        <f>_xlfn.XLOOKUP(Tabela2[[#This Row],[Nome_Colaborador]],[1]Planilha1!$A:$A,[1]Planilha1!$B:$B,"")</f>
        <v>MARCOS</v>
      </c>
      <c r="F190" t="s">
        <v>86</v>
      </c>
      <c r="G19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0" t="s">
        <v>92</v>
      </c>
      <c r="J190">
        <v>0</v>
      </c>
      <c r="K190" t="str">
        <f>Tabela2[[#This Row],[Nome_Colaborador]]&amp;";"</f>
        <v>AMANDA NASCIMENTO DOS SANTOS;</v>
      </c>
    </row>
    <row r="191" spans="1:11" hidden="1" x14ac:dyDescent="0.3">
      <c r="A191" s="12" t="s">
        <v>220</v>
      </c>
      <c r="B191" s="2">
        <v>0</v>
      </c>
      <c r="C191" s="2">
        <v>0</v>
      </c>
      <c r="D191" s="10" t="s">
        <v>356</v>
      </c>
      <c r="E191" t="str">
        <f>_xlfn.XLOOKUP(Tabela2[[#This Row],[Nome_Colaborador]],[1]Planilha1!$A:$A,[1]Planilha1!$B:$B,"")</f>
        <v>MARCOS</v>
      </c>
      <c r="F191" t="s">
        <v>86</v>
      </c>
      <c r="G19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1" t="s">
        <v>92</v>
      </c>
      <c r="J191">
        <v>0</v>
      </c>
      <c r="K191" t="str">
        <f>Tabela2[[#This Row],[Nome_Colaborador]]&amp;";"</f>
        <v>JULIANA APARECIDA DA COSTA LEAL;</v>
      </c>
    </row>
    <row r="192" spans="1:11" hidden="1" x14ac:dyDescent="0.3">
      <c r="A192" s="12" t="s">
        <v>221</v>
      </c>
      <c r="B192" s="2">
        <v>0</v>
      </c>
      <c r="C192" s="2">
        <v>0</v>
      </c>
      <c r="D192" s="10" t="s">
        <v>356</v>
      </c>
      <c r="E192" t="str">
        <f>_xlfn.XLOOKUP(Tabela2[[#This Row],[Nome_Colaborador]],[1]Planilha1!$A:$A,[1]Planilha1!$B:$B,"")</f>
        <v>MARCOS</v>
      </c>
      <c r="F192" t="s">
        <v>86</v>
      </c>
      <c r="G19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2" t="s">
        <v>92</v>
      </c>
      <c r="J192">
        <v>0</v>
      </c>
      <c r="K192" t="str">
        <f>Tabela2[[#This Row],[Nome_Colaborador]]&amp;";"</f>
        <v>GABRIEL GODOY DE MORAIS;</v>
      </c>
    </row>
    <row r="193" spans="1:11" hidden="1" x14ac:dyDescent="0.3">
      <c r="A193" s="12" t="s">
        <v>222</v>
      </c>
      <c r="B193" s="2">
        <v>0</v>
      </c>
      <c r="C193" s="2">
        <v>0</v>
      </c>
      <c r="D193" s="10" t="s">
        <v>356</v>
      </c>
      <c r="E193" t="str">
        <f>_xlfn.XLOOKUP(Tabela2[[#This Row],[Nome_Colaborador]],[1]Planilha1!$A:$A,[1]Planilha1!$B:$B,"")</f>
        <v>MARCOS</v>
      </c>
      <c r="F193" t="s">
        <v>86</v>
      </c>
      <c r="G19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3" t="s">
        <v>92</v>
      </c>
      <c r="J193">
        <v>0</v>
      </c>
      <c r="K193" t="str">
        <f>Tabela2[[#This Row],[Nome_Colaborador]]&amp;";"</f>
        <v>ALAND MACEDO VICENTE;</v>
      </c>
    </row>
    <row r="194" spans="1:11" hidden="1" x14ac:dyDescent="0.3">
      <c r="A194" s="12" t="s">
        <v>223</v>
      </c>
      <c r="B194" s="2">
        <v>0</v>
      </c>
      <c r="C194" s="2">
        <v>0</v>
      </c>
      <c r="D194" s="10" t="s">
        <v>356</v>
      </c>
      <c r="E194" t="str">
        <f>_xlfn.XLOOKUP(Tabela2[[#This Row],[Nome_Colaborador]],[1]Planilha1!$A:$A,[1]Planilha1!$B:$B,"")</f>
        <v>MARCOS</v>
      </c>
      <c r="F194" t="s">
        <v>86</v>
      </c>
      <c r="G19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4" t="s">
        <v>92</v>
      </c>
      <c r="J194">
        <v>0</v>
      </c>
      <c r="K194" t="str">
        <f>Tabela2[[#This Row],[Nome_Colaborador]]&amp;";"</f>
        <v>JENNIFER LUANA DUARTE SOARES;</v>
      </c>
    </row>
    <row r="195" spans="1:11" hidden="1" x14ac:dyDescent="0.3">
      <c r="A195" s="12" t="s">
        <v>224</v>
      </c>
      <c r="B195" s="2">
        <v>0</v>
      </c>
      <c r="C195" s="2">
        <v>0</v>
      </c>
      <c r="D195" s="10" t="s">
        <v>356</v>
      </c>
      <c r="E195" t="str">
        <f>_xlfn.XLOOKUP(Tabela2[[#This Row],[Nome_Colaborador]],[1]Planilha1!$A:$A,[1]Planilha1!$B:$B,"")</f>
        <v>MARCOS</v>
      </c>
      <c r="F195" t="s">
        <v>86</v>
      </c>
      <c r="G19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5" t="s">
        <v>92</v>
      </c>
      <c r="J195">
        <v>0</v>
      </c>
      <c r="K195" t="str">
        <f>Tabela2[[#This Row],[Nome_Colaborador]]&amp;";"</f>
        <v>JULIANO CARLOS DE LIMA FERREIRA;</v>
      </c>
    </row>
    <row r="196" spans="1:11" hidden="1" x14ac:dyDescent="0.3">
      <c r="A196" s="12" t="s">
        <v>225</v>
      </c>
      <c r="B196" s="2">
        <v>0</v>
      </c>
      <c r="C196" s="2">
        <v>0</v>
      </c>
      <c r="D196" s="10" t="s">
        <v>356</v>
      </c>
      <c r="E196" t="str">
        <f>_xlfn.XLOOKUP(Tabela2[[#This Row],[Nome_Colaborador]],[1]Planilha1!$A:$A,[1]Planilha1!$B:$B,"")</f>
        <v>MARCOS</v>
      </c>
      <c r="F196" t="s">
        <v>86</v>
      </c>
      <c r="G19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6" t="s">
        <v>92</v>
      </c>
      <c r="J196">
        <v>0</v>
      </c>
      <c r="K196" t="str">
        <f>Tabela2[[#This Row],[Nome_Colaborador]]&amp;";"</f>
        <v>MIRIHAN RAQUEL DE OLIVEIRA PONTES;</v>
      </c>
    </row>
    <row r="197" spans="1:11" hidden="1" x14ac:dyDescent="0.3">
      <c r="A197" s="12" t="s">
        <v>226</v>
      </c>
      <c r="B197" s="2">
        <v>0</v>
      </c>
      <c r="C197" s="2">
        <v>0</v>
      </c>
      <c r="D197" s="10" t="s">
        <v>356</v>
      </c>
      <c r="E197" t="str">
        <f>_xlfn.XLOOKUP(Tabela2[[#This Row],[Nome_Colaborador]],[1]Planilha1!$A:$A,[1]Planilha1!$B:$B,"")</f>
        <v>MARCOS</v>
      </c>
      <c r="F197" t="s">
        <v>86</v>
      </c>
      <c r="G19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7" t="s">
        <v>92</v>
      </c>
      <c r="J197">
        <v>0</v>
      </c>
      <c r="K197" t="str">
        <f>Tabela2[[#This Row],[Nome_Colaborador]]&amp;";"</f>
        <v>ZINEIDE DO ROCIO DE CARVALHO;</v>
      </c>
    </row>
    <row r="198" spans="1:11" hidden="1" x14ac:dyDescent="0.3">
      <c r="A198" s="12" t="s">
        <v>227</v>
      </c>
      <c r="B198" s="2">
        <v>0</v>
      </c>
      <c r="C198" s="2">
        <v>0</v>
      </c>
      <c r="D198" s="10" t="s">
        <v>356</v>
      </c>
      <c r="E198" t="str">
        <f>_xlfn.XLOOKUP(Tabela2[[#This Row],[Nome_Colaborador]],[1]Planilha1!$A:$A,[1]Planilha1!$B:$B,"")</f>
        <v>MARCOS</v>
      </c>
      <c r="F198" t="s">
        <v>86</v>
      </c>
      <c r="G19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8" t="s">
        <v>92</v>
      </c>
      <c r="J198">
        <v>0</v>
      </c>
      <c r="K198" t="str">
        <f>Tabela2[[#This Row],[Nome_Colaborador]]&amp;";"</f>
        <v>ELIN CRISTINA DA SILVA;</v>
      </c>
    </row>
    <row r="199" spans="1:11" hidden="1" x14ac:dyDescent="0.3">
      <c r="A199" s="12" t="s">
        <v>228</v>
      </c>
      <c r="B199" s="2">
        <v>0</v>
      </c>
      <c r="C199" s="2">
        <v>0</v>
      </c>
      <c r="D199" s="10" t="s">
        <v>356</v>
      </c>
      <c r="E199" t="str">
        <f>_xlfn.XLOOKUP(Tabela2[[#This Row],[Nome_Colaborador]],[1]Planilha1!$A:$A,[1]Planilha1!$B:$B,"")</f>
        <v>MARCOS</v>
      </c>
      <c r="F199" t="s">
        <v>86</v>
      </c>
      <c r="G19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199" t="s">
        <v>92</v>
      </c>
      <c r="J199">
        <v>0</v>
      </c>
      <c r="K199" t="str">
        <f>Tabela2[[#This Row],[Nome_Colaborador]]&amp;";"</f>
        <v>VANESSA SOUZA DE FARIA;</v>
      </c>
    </row>
    <row r="200" spans="1:11" hidden="1" x14ac:dyDescent="0.3">
      <c r="A200" s="12" t="s">
        <v>229</v>
      </c>
      <c r="B200" s="2">
        <v>0</v>
      </c>
      <c r="C200" s="2">
        <v>0</v>
      </c>
      <c r="D200" s="10" t="s">
        <v>356</v>
      </c>
      <c r="E200" t="str">
        <f>_xlfn.XLOOKUP(Tabela2[[#This Row],[Nome_Colaborador]],[1]Planilha1!$A:$A,[1]Planilha1!$B:$B,"")</f>
        <v>MARCOS</v>
      </c>
      <c r="F200" t="s">
        <v>86</v>
      </c>
      <c r="G20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0" t="s">
        <v>92</v>
      </c>
      <c r="J200">
        <v>0</v>
      </c>
      <c r="K200" t="str">
        <f>Tabela2[[#This Row],[Nome_Colaborador]]&amp;";"</f>
        <v>MAGNO ALEFFY MELO DA SILVA;</v>
      </c>
    </row>
    <row r="201" spans="1:11" hidden="1" x14ac:dyDescent="0.3">
      <c r="A201" s="12" t="s">
        <v>230</v>
      </c>
      <c r="B201" s="2">
        <v>0</v>
      </c>
      <c r="C201" s="2">
        <v>0</v>
      </c>
      <c r="D201" s="10" t="s">
        <v>356</v>
      </c>
      <c r="E201" t="str">
        <f>_xlfn.XLOOKUP(Tabela2[[#This Row],[Nome_Colaborador]],[1]Planilha1!$A:$A,[1]Planilha1!$B:$B,"")</f>
        <v>MARCOS</v>
      </c>
      <c r="F201" t="s">
        <v>86</v>
      </c>
      <c r="G20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1" t="s">
        <v>92</v>
      </c>
      <c r="J201">
        <v>0</v>
      </c>
      <c r="K201" t="str">
        <f>Tabela2[[#This Row],[Nome_Colaborador]]&amp;";"</f>
        <v>BEATRIZ APARECIDA TELES TOMASINI;</v>
      </c>
    </row>
    <row r="202" spans="1:11" hidden="1" x14ac:dyDescent="0.3">
      <c r="A202" s="12" t="s">
        <v>231</v>
      </c>
      <c r="B202" s="2">
        <v>0</v>
      </c>
      <c r="C202" s="2">
        <v>0</v>
      </c>
      <c r="D202" s="10" t="s">
        <v>356</v>
      </c>
      <c r="E202" t="str">
        <f>_xlfn.XLOOKUP(Tabela2[[#This Row],[Nome_Colaborador]],[1]Planilha1!$A:$A,[1]Planilha1!$B:$B,"")</f>
        <v>MARCOS</v>
      </c>
      <c r="F202" t="s">
        <v>86</v>
      </c>
      <c r="G20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2" t="s">
        <v>92</v>
      </c>
      <c r="J202">
        <v>0</v>
      </c>
      <c r="K202" t="str">
        <f>Tabela2[[#This Row],[Nome_Colaborador]]&amp;";"</f>
        <v>MARCELO AUGUSTO MERCHIORI;</v>
      </c>
    </row>
    <row r="203" spans="1:11" hidden="1" x14ac:dyDescent="0.3">
      <c r="A203" s="12" t="s">
        <v>232</v>
      </c>
      <c r="B203" s="2">
        <v>0</v>
      </c>
      <c r="C203" s="2">
        <v>0</v>
      </c>
      <c r="D203" s="10" t="s">
        <v>356</v>
      </c>
      <c r="E203" t="str">
        <f>_xlfn.XLOOKUP(Tabela2[[#This Row],[Nome_Colaborador]],[1]Planilha1!$A:$A,[1]Planilha1!$B:$B,"")</f>
        <v>MARCOS</v>
      </c>
      <c r="F203" t="s">
        <v>86</v>
      </c>
      <c r="G20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3" t="s">
        <v>92</v>
      </c>
      <c r="J203">
        <v>0</v>
      </c>
      <c r="K203" t="str">
        <f>Tabela2[[#This Row],[Nome_Colaborador]]&amp;";"</f>
        <v>JANAINA PATRICIA DE RAMOS DINIZ;</v>
      </c>
    </row>
    <row r="204" spans="1:11" hidden="1" x14ac:dyDescent="0.3">
      <c r="A204" s="12" t="s">
        <v>233</v>
      </c>
      <c r="B204" s="2">
        <v>0</v>
      </c>
      <c r="C204" s="2">
        <v>0</v>
      </c>
      <c r="D204" s="10" t="s">
        <v>356</v>
      </c>
      <c r="E204" t="str">
        <f>_xlfn.XLOOKUP(Tabela2[[#This Row],[Nome_Colaborador]],[1]Planilha1!$A:$A,[1]Planilha1!$B:$B,"")</f>
        <v>MARCOS</v>
      </c>
      <c r="F204" t="s">
        <v>86</v>
      </c>
      <c r="G20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4" t="s">
        <v>92</v>
      </c>
      <c r="J204">
        <v>0</v>
      </c>
      <c r="K204" t="str">
        <f>Tabela2[[#This Row],[Nome_Colaborador]]&amp;";"</f>
        <v>JULIO CESAR FREITAS;</v>
      </c>
    </row>
    <row r="205" spans="1:11" hidden="1" x14ac:dyDescent="0.3">
      <c r="A205" s="12" t="s">
        <v>234</v>
      </c>
      <c r="B205" s="2">
        <v>0</v>
      </c>
      <c r="C205" s="2">
        <v>0</v>
      </c>
      <c r="D205" s="10" t="s">
        <v>356</v>
      </c>
      <c r="E205" t="str">
        <f>_xlfn.XLOOKUP(Tabela2[[#This Row],[Nome_Colaborador]],[1]Planilha1!$A:$A,[1]Planilha1!$B:$B,"")</f>
        <v>MARCOS</v>
      </c>
      <c r="F205" t="s">
        <v>86</v>
      </c>
      <c r="G20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5" t="s">
        <v>92</v>
      </c>
      <c r="J205">
        <v>0</v>
      </c>
      <c r="K205" t="str">
        <f>Tabela2[[#This Row],[Nome_Colaborador]]&amp;";"</f>
        <v>EMERSON FRANCISCO SILVEIRA;</v>
      </c>
    </row>
    <row r="206" spans="1:11" hidden="1" x14ac:dyDescent="0.3">
      <c r="A206" s="12" t="s">
        <v>235</v>
      </c>
      <c r="B206" s="2">
        <v>0</v>
      </c>
      <c r="C206" s="2">
        <v>0</v>
      </c>
      <c r="D206" s="10" t="s">
        <v>356</v>
      </c>
      <c r="E206" t="str">
        <f>_xlfn.XLOOKUP(Tabela2[[#This Row],[Nome_Colaborador]],[1]Planilha1!$A:$A,[1]Planilha1!$B:$B,"")</f>
        <v>MARCOS</v>
      </c>
      <c r="F206" t="s">
        <v>86</v>
      </c>
      <c r="G20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6" t="s">
        <v>92</v>
      </c>
      <c r="J206">
        <v>0</v>
      </c>
      <c r="K206" t="str">
        <f>Tabela2[[#This Row],[Nome_Colaborador]]&amp;";"</f>
        <v>JUCELIO JUNIOR GAUNA VELOSO;</v>
      </c>
    </row>
    <row r="207" spans="1:11" hidden="1" x14ac:dyDescent="0.3">
      <c r="A207" s="12" t="s">
        <v>236</v>
      </c>
      <c r="B207" s="2">
        <v>0</v>
      </c>
      <c r="C207" s="2">
        <v>0</v>
      </c>
      <c r="D207" s="10" t="s">
        <v>356</v>
      </c>
      <c r="E207" t="str">
        <f>_xlfn.XLOOKUP(Tabela2[[#This Row],[Nome_Colaborador]],[1]Planilha1!$A:$A,[1]Planilha1!$B:$B,"")</f>
        <v>MARCOS</v>
      </c>
      <c r="F207" t="s">
        <v>86</v>
      </c>
      <c r="G20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7" t="s">
        <v>92</v>
      </c>
      <c r="J207">
        <v>0</v>
      </c>
      <c r="K207" t="str">
        <f>Tabela2[[#This Row],[Nome_Colaborador]]&amp;";"</f>
        <v>GISLAINE CALEGARINI;</v>
      </c>
    </row>
    <row r="208" spans="1:11" hidden="1" x14ac:dyDescent="0.3">
      <c r="A208" s="12" t="s">
        <v>237</v>
      </c>
      <c r="B208" s="2">
        <v>0</v>
      </c>
      <c r="C208" s="2">
        <v>0</v>
      </c>
      <c r="D208" s="10" t="s">
        <v>356</v>
      </c>
      <c r="E208" t="str">
        <f>_xlfn.XLOOKUP(Tabela2[[#This Row],[Nome_Colaborador]],[1]Planilha1!$A:$A,[1]Planilha1!$B:$B,"")</f>
        <v>MARCOS</v>
      </c>
      <c r="F208" t="s">
        <v>86</v>
      </c>
      <c r="G20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8" t="s">
        <v>92</v>
      </c>
      <c r="J208">
        <v>0</v>
      </c>
      <c r="K208" t="str">
        <f>Tabela2[[#This Row],[Nome_Colaborador]]&amp;";"</f>
        <v>THIAGO VINICIUS TONIOLO GUMZ;</v>
      </c>
    </row>
    <row r="209" spans="1:11" hidden="1" x14ac:dyDescent="0.3">
      <c r="A209" s="12" t="s">
        <v>238</v>
      </c>
      <c r="B209" s="2">
        <v>0</v>
      </c>
      <c r="C209" s="2">
        <v>0</v>
      </c>
      <c r="D209" s="10" t="s">
        <v>356</v>
      </c>
      <c r="E209" t="str">
        <f>_xlfn.XLOOKUP(Tabela2[[#This Row],[Nome_Colaborador]],[1]Planilha1!$A:$A,[1]Planilha1!$B:$B,"")</f>
        <v>MARCOS</v>
      </c>
      <c r="F209" t="s">
        <v>86</v>
      </c>
      <c r="G20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09" t="s">
        <v>92</v>
      </c>
      <c r="J209">
        <v>0</v>
      </c>
      <c r="K209" t="str">
        <f>Tabela2[[#This Row],[Nome_Colaborador]]&amp;";"</f>
        <v>JERLLAN WEBERT NUNES DUARTE COSTA;</v>
      </c>
    </row>
    <row r="210" spans="1:11" hidden="1" x14ac:dyDescent="0.3">
      <c r="A210" s="12" t="s">
        <v>239</v>
      </c>
      <c r="B210" s="2">
        <v>0</v>
      </c>
      <c r="C210" s="2">
        <v>0</v>
      </c>
      <c r="D210" s="10" t="s">
        <v>356</v>
      </c>
      <c r="E210" t="str">
        <f>_xlfn.XLOOKUP(Tabela2[[#This Row],[Nome_Colaborador]],[1]Planilha1!$A:$A,[1]Planilha1!$B:$B,"")</f>
        <v>MARCOS</v>
      </c>
      <c r="F210" t="s">
        <v>86</v>
      </c>
      <c r="G21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0" t="s">
        <v>92</v>
      </c>
      <c r="J210">
        <v>0</v>
      </c>
      <c r="K210" t="str">
        <f>Tabela2[[#This Row],[Nome_Colaborador]]&amp;";"</f>
        <v>BRUNA RIBEIRO DE LUCA;</v>
      </c>
    </row>
    <row r="211" spans="1:11" hidden="1" x14ac:dyDescent="0.3">
      <c r="A211" s="12" t="s">
        <v>240</v>
      </c>
      <c r="B211" s="2">
        <v>0</v>
      </c>
      <c r="C211" s="2">
        <v>0</v>
      </c>
      <c r="D211" s="10" t="s">
        <v>356</v>
      </c>
      <c r="E211" t="str">
        <f>_xlfn.XLOOKUP(Tabela2[[#This Row],[Nome_Colaborador]],[1]Planilha1!$A:$A,[1]Planilha1!$B:$B,"")</f>
        <v>MARCOS</v>
      </c>
      <c r="F211" t="s">
        <v>86</v>
      </c>
      <c r="G21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1" t="s">
        <v>92</v>
      </c>
      <c r="J211">
        <v>0</v>
      </c>
      <c r="K211" t="str">
        <f>Tabela2[[#This Row],[Nome_Colaborador]]&amp;";"</f>
        <v>EDUARDA PAULINE IVO DOS SANTOS;</v>
      </c>
    </row>
    <row r="212" spans="1:11" hidden="1" x14ac:dyDescent="0.3">
      <c r="A212" s="12" t="s">
        <v>241</v>
      </c>
      <c r="B212" s="2">
        <v>0</v>
      </c>
      <c r="C212" s="2">
        <v>0</v>
      </c>
      <c r="D212" s="10" t="s">
        <v>356</v>
      </c>
      <c r="E212" t="str">
        <f>_xlfn.XLOOKUP(Tabela2[[#This Row],[Nome_Colaborador]],[1]Planilha1!$A:$A,[1]Planilha1!$B:$B,"")</f>
        <v>MARCOS</v>
      </c>
      <c r="F212" t="s">
        <v>86</v>
      </c>
      <c r="G21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2" t="s">
        <v>92</v>
      </c>
      <c r="J212">
        <v>0</v>
      </c>
      <c r="K212" t="str">
        <f>Tabela2[[#This Row],[Nome_Colaborador]]&amp;";"</f>
        <v>PALOMA SOARES RAMOS MOREIRA DE ALMEIDA;</v>
      </c>
    </row>
    <row r="213" spans="1:11" hidden="1" x14ac:dyDescent="0.3">
      <c r="A213" s="12" t="s">
        <v>242</v>
      </c>
      <c r="B213" s="2">
        <v>0</v>
      </c>
      <c r="C213" s="2">
        <v>0</v>
      </c>
      <c r="D213" s="10" t="s">
        <v>356</v>
      </c>
      <c r="E213" t="str">
        <f>_xlfn.XLOOKUP(Tabela2[[#This Row],[Nome_Colaborador]],[1]Planilha1!$A:$A,[1]Planilha1!$B:$B,"")</f>
        <v>MARCOS</v>
      </c>
      <c r="F213" t="s">
        <v>86</v>
      </c>
      <c r="G21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3" t="s">
        <v>92</v>
      </c>
      <c r="J213">
        <v>0</v>
      </c>
      <c r="K213" t="str">
        <f>Tabela2[[#This Row],[Nome_Colaborador]]&amp;";"</f>
        <v>STEPHANY BRAND FERRARI;</v>
      </c>
    </row>
    <row r="214" spans="1:11" hidden="1" x14ac:dyDescent="0.3">
      <c r="A214" s="12" t="s">
        <v>243</v>
      </c>
      <c r="B214" s="2">
        <v>0</v>
      </c>
      <c r="C214" s="2">
        <v>0</v>
      </c>
      <c r="D214" s="10" t="s">
        <v>356</v>
      </c>
      <c r="E214" t="str">
        <f>_xlfn.XLOOKUP(Tabela2[[#This Row],[Nome_Colaborador]],[1]Planilha1!$A:$A,[1]Planilha1!$B:$B,"")</f>
        <v>MARCOS</v>
      </c>
      <c r="F214" t="s">
        <v>86</v>
      </c>
      <c r="G21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4" t="s">
        <v>92</v>
      </c>
      <c r="J214">
        <v>0</v>
      </c>
      <c r="K214" t="str">
        <f>Tabela2[[#This Row],[Nome_Colaborador]]&amp;";"</f>
        <v>Viviane da Silva;</v>
      </c>
    </row>
    <row r="215" spans="1:11" hidden="1" x14ac:dyDescent="0.3">
      <c r="A215" s="12" t="s">
        <v>244</v>
      </c>
      <c r="B215" s="2">
        <v>0</v>
      </c>
      <c r="C215" s="2">
        <v>0</v>
      </c>
      <c r="D215" s="10" t="s">
        <v>356</v>
      </c>
      <c r="E215" t="str">
        <f>_xlfn.XLOOKUP(Tabela2[[#This Row],[Nome_Colaborador]],[1]Planilha1!$A:$A,[1]Planilha1!$B:$B,"")</f>
        <v>MARCOS</v>
      </c>
      <c r="F215" t="s">
        <v>86</v>
      </c>
      <c r="G21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5" t="s">
        <v>92</v>
      </c>
      <c r="J215">
        <v>0</v>
      </c>
      <c r="K215" t="str">
        <f>Tabela2[[#This Row],[Nome_Colaborador]]&amp;";"</f>
        <v>DOUGLAS MIRANDA DE OLIVEIRA;</v>
      </c>
    </row>
    <row r="216" spans="1:11" hidden="1" x14ac:dyDescent="0.3">
      <c r="A216" s="12" t="s">
        <v>245</v>
      </c>
      <c r="B216" s="2">
        <v>0</v>
      </c>
      <c r="C216" s="2">
        <v>0</v>
      </c>
      <c r="D216" s="10" t="s">
        <v>356</v>
      </c>
      <c r="E216" t="str">
        <f>_xlfn.XLOOKUP(Tabela2[[#This Row],[Nome_Colaborador]],[1]Planilha1!$A:$A,[1]Planilha1!$B:$B,"")</f>
        <v>MARCOS</v>
      </c>
      <c r="F216" t="s">
        <v>86</v>
      </c>
      <c r="G21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6" t="s">
        <v>92</v>
      </c>
      <c r="J216">
        <v>0</v>
      </c>
      <c r="K216" t="str">
        <f>Tabela2[[#This Row],[Nome_Colaborador]]&amp;";"</f>
        <v>JULIANA TEREZINHA DE OLIVEIRA;</v>
      </c>
    </row>
    <row r="217" spans="1:11" hidden="1" x14ac:dyDescent="0.3">
      <c r="A217" s="12" t="s">
        <v>246</v>
      </c>
      <c r="B217" s="2">
        <v>0</v>
      </c>
      <c r="C217" s="2">
        <v>0</v>
      </c>
      <c r="D217" s="10" t="s">
        <v>356</v>
      </c>
      <c r="E217" t="str">
        <f>_xlfn.XLOOKUP(Tabela2[[#This Row],[Nome_Colaborador]],[1]Planilha1!$A:$A,[1]Planilha1!$B:$B,"")</f>
        <v>MARCOS</v>
      </c>
      <c r="F217" t="s">
        <v>86</v>
      </c>
      <c r="G21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7" t="s">
        <v>92</v>
      </c>
      <c r="J217">
        <v>0</v>
      </c>
      <c r="K217" t="str">
        <f>Tabela2[[#This Row],[Nome_Colaborador]]&amp;";"</f>
        <v>BRUNA CAMILA SEDLMAIER;</v>
      </c>
    </row>
    <row r="218" spans="1:11" hidden="1" x14ac:dyDescent="0.3">
      <c r="A218" s="12" t="s">
        <v>247</v>
      </c>
      <c r="B218" s="2">
        <v>0</v>
      </c>
      <c r="C218" s="2">
        <v>0</v>
      </c>
      <c r="D218" s="10" t="s">
        <v>356</v>
      </c>
      <c r="E218" t="str">
        <f>_xlfn.XLOOKUP(Tabela2[[#This Row],[Nome_Colaborador]],[1]Planilha1!$A:$A,[1]Planilha1!$B:$B,"")</f>
        <v>MARCOS</v>
      </c>
      <c r="F218" t="s">
        <v>86</v>
      </c>
      <c r="G21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8" t="s">
        <v>92</v>
      </c>
      <c r="J218">
        <v>0</v>
      </c>
      <c r="K218" t="str">
        <f>Tabela2[[#This Row],[Nome_Colaborador]]&amp;";"</f>
        <v>FERNANDO MARCIO FERREIRA JUNIOR;</v>
      </c>
    </row>
    <row r="219" spans="1:11" hidden="1" x14ac:dyDescent="0.3">
      <c r="A219" s="12" t="s">
        <v>248</v>
      </c>
      <c r="B219" s="2">
        <v>0</v>
      </c>
      <c r="C219" s="2">
        <v>0</v>
      </c>
      <c r="D219" s="10" t="s">
        <v>356</v>
      </c>
      <c r="E219" t="str">
        <f>_xlfn.XLOOKUP(Tabela2[[#This Row],[Nome_Colaborador]],[1]Planilha1!$A:$A,[1]Planilha1!$B:$B,"")</f>
        <v>MARCOS</v>
      </c>
      <c r="F219" t="s">
        <v>86</v>
      </c>
      <c r="G21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19" t="s">
        <v>92</v>
      </c>
      <c r="J219">
        <v>0</v>
      </c>
      <c r="K219" t="str">
        <f>Tabela2[[#This Row],[Nome_Colaborador]]&amp;";"</f>
        <v>MARINES FERREIRA CARNEIRO;</v>
      </c>
    </row>
    <row r="220" spans="1:11" hidden="1" x14ac:dyDescent="0.3">
      <c r="A220" s="12" t="s">
        <v>249</v>
      </c>
      <c r="B220" s="2">
        <v>0</v>
      </c>
      <c r="C220" s="2">
        <v>0</v>
      </c>
      <c r="D220" s="10" t="s">
        <v>356</v>
      </c>
      <c r="E220" t="str">
        <f>_xlfn.XLOOKUP(Tabela2[[#This Row],[Nome_Colaborador]],[1]Planilha1!$A:$A,[1]Planilha1!$B:$B,"")</f>
        <v>MARCOS</v>
      </c>
      <c r="F220" t="s">
        <v>86</v>
      </c>
      <c r="G22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0" t="s">
        <v>92</v>
      </c>
      <c r="J220">
        <v>0</v>
      </c>
      <c r="K220" t="str">
        <f>Tabela2[[#This Row],[Nome_Colaborador]]&amp;";"</f>
        <v>MIRIA RAMOS DOS SANTOS;</v>
      </c>
    </row>
    <row r="221" spans="1:11" hidden="1" x14ac:dyDescent="0.3">
      <c r="A221" s="12" t="s">
        <v>250</v>
      </c>
      <c r="B221" s="2">
        <v>0</v>
      </c>
      <c r="C221" s="2">
        <v>0</v>
      </c>
      <c r="D221" s="10" t="s">
        <v>356</v>
      </c>
      <c r="E221" t="str">
        <f>_xlfn.XLOOKUP(Tabela2[[#This Row],[Nome_Colaborador]],[1]Planilha1!$A:$A,[1]Planilha1!$B:$B,"")</f>
        <v>MARCOS</v>
      </c>
      <c r="F221" t="s">
        <v>86</v>
      </c>
      <c r="G22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1" t="s">
        <v>92</v>
      </c>
      <c r="J221">
        <v>0</v>
      </c>
      <c r="K221" t="str">
        <f>Tabela2[[#This Row],[Nome_Colaborador]]&amp;";"</f>
        <v>IGOR ROCHA DE SOUSA;</v>
      </c>
    </row>
    <row r="222" spans="1:11" hidden="1" x14ac:dyDescent="0.3">
      <c r="A222" s="12" t="s">
        <v>251</v>
      </c>
      <c r="B222" s="2">
        <v>0</v>
      </c>
      <c r="C222" s="2">
        <v>0</v>
      </c>
      <c r="D222" s="10" t="s">
        <v>356</v>
      </c>
      <c r="E222" t="str">
        <f>_xlfn.XLOOKUP(Tabela2[[#This Row],[Nome_Colaborador]],[1]Planilha1!$A:$A,[1]Planilha1!$B:$B,"")</f>
        <v>MARCOS</v>
      </c>
      <c r="F222" t="s">
        <v>86</v>
      </c>
      <c r="G22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2" t="s">
        <v>92</v>
      </c>
      <c r="J222">
        <v>0</v>
      </c>
      <c r="K222" t="str">
        <f>Tabela2[[#This Row],[Nome_Colaborador]]&amp;";"</f>
        <v>KARLA LUIZA DE MACEDO;</v>
      </c>
    </row>
    <row r="223" spans="1:11" hidden="1" x14ac:dyDescent="0.3">
      <c r="A223" s="12" t="s">
        <v>252</v>
      </c>
      <c r="B223" s="2">
        <v>0</v>
      </c>
      <c r="C223" s="2">
        <v>0</v>
      </c>
      <c r="D223" s="10" t="s">
        <v>356</v>
      </c>
      <c r="E223" t="str">
        <f>_xlfn.XLOOKUP(Tabela2[[#This Row],[Nome_Colaborador]],[1]Planilha1!$A:$A,[1]Planilha1!$B:$B,"")</f>
        <v>MARCOS</v>
      </c>
      <c r="F223" t="s">
        <v>86</v>
      </c>
      <c r="G22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3" t="s">
        <v>92</v>
      </c>
      <c r="J223">
        <v>0</v>
      </c>
      <c r="K223" t="str">
        <f>Tabela2[[#This Row],[Nome_Colaborador]]&amp;";"</f>
        <v>ERICK SANDER TAVARES SEZEPULA;</v>
      </c>
    </row>
    <row r="224" spans="1:11" hidden="1" x14ac:dyDescent="0.3">
      <c r="A224" s="12" t="s">
        <v>253</v>
      </c>
      <c r="B224" s="2">
        <v>0</v>
      </c>
      <c r="C224" s="2">
        <v>0</v>
      </c>
      <c r="D224" s="10" t="s">
        <v>356</v>
      </c>
      <c r="E224" t="str">
        <f>_xlfn.XLOOKUP(Tabela2[[#This Row],[Nome_Colaborador]],[1]Planilha1!$A:$A,[1]Planilha1!$B:$B,"")</f>
        <v>MARCOS</v>
      </c>
      <c r="F224" t="s">
        <v>86</v>
      </c>
      <c r="G22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4" t="s">
        <v>92</v>
      </c>
      <c r="J224">
        <v>0</v>
      </c>
      <c r="K224" t="str">
        <f>Tabela2[[#This Row],[Nome_Colaborador]]&amp;";"</f>
        <v>HELEN CAROLINE SOARES DE LIMA GUTSTEIN;</v>
      </c>
    </row>
    <row r="225" spans="1:11" hidden="1" x14ac:dyDescent="0.3">
      <c r="A225" s="12" t="s">
        <v>254</v>
      </c>
      <c r="B225" s="2">
        <v>0</v>
      </c>
      <c r="C225" s="2">
        <v>0</v>
      </c>
      <c r="D225" s="10" t="s">
        <v>356</v>
      </c>
      <c r="E225" t="str">
        <f>_xlfn.XLOOKUP(Tabela2[[#This Row],[Nome_Colaborador]],[1]Planilha1!$A:$A,[1]Planilha1!$B:$B,"")</f>
        <v>MARCOS</v>
      </c>
      <c r="F225" t="s">
        <v>86</v>
      </c>
      <c r="G22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5" t="s">
        <v>92</v>
      </c>
      <c r="J225">
        <v>0</v>
      </c>
      <c r="K225" t="str">
        <f>Tabela2[[#This Row],[Nome_Colaborador]]&amp;";"</f>
        <v>RUAN CARLOS SANTOS DO NASCIMENTO;</v>
      </c>
    </row>
    <row r="226" spans="1:11" hidden="1" x14ac:dyDescent="0.3">
      <c r="A226" s="12" t="s">
        <v>255</v>
      </c>
      <c r="B226" s="2">
        <v>0</v>
      </c>
      <c r="C226" s="2">
        <v>0</v>
      </c>
      <c r="D226" s="10" t="s">
        <v>356</v>
      </c>
      <c r="E226" t="str">
        <f>_xlfn.XLOOKUP(Tabela2[[#This Row],[Nome_Colaborador]],[1]Planilha1!$A:$A,[1]Planilha1!$B:$B,"")</f>
        <v>MARCOS</v>
      </c>
      <c r="F226" t="s">
        <v>86</v>
      </c>
      <c r="G22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6" t="s">
        <v>92</v>
      </c>
      <c r="J226">
        <v>0</v>
      </c>
      <c r="K226" t="str">
        <f>Tabela2[[#This Row],[Nome_Colaborador]]&amp;";"</f>
        <v>RENATA DIAS DE SOUZA;</v>
      </c>
    </row>
    <row r="227" spans="1:11" hidden="1" x14ac:dyDescent="0.3">
      <c r="A227" s="12" t="s">
        <v>256</v>
      </c>
      <c r="B227" s="2">
        <v>0</v>
      </c>
      <c r="C227" s="2">
        <v>0</v>
      </c>
      <c r="D227" s="10" t="s">
        <v>356</v>
      </c>
      <c r="E227" t="str">
        <f>_xlfn.XLOOKUP(Tabela2[[#This Row],[Nome_Colaborador]],[1]Planilha1!$A:$A,[1]Planilha1!$B:$B,"")</f>
        <v>MARCOS</v>
      </c>
      <c r="F227" t="s">
        <v>86</v>
      </c>
      <c r="G22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7" t="s">
        <v>92</v>
      </c>
      <c r="J227">
        <v>0</v>
      </c>
      <c r="K227" t="str">
        <f>Tabela2[[#This Row],[Nome_Colaborador]]&amp;";"</f>
        <v>FABIO MACIEL;</v>
      </c>
    </row>
    <row r="228" spans="1:11" hidden="1" x14ac:dyDescent="0.3">
      <c r="A228" s="12" t="s">
        <v>257</v>
      </c>
      <c r="B228" s="2">
        <v>0</v>
      </c>
      <c r="C228" s="2">
        <v>0</v>
      </c>
      <c r="D228" s="10" t="s">
        <v>356</v>
      </c>
      <c r="E228" t="str">
        <f>_xlfn.XLOOKUP(Tabela2[[#This Row],[Nome_Colaborador]],[1]Planilha1!$A:$A,[1]Planilha1!$B:$B,"")</f>
        <v>MARCOS</v>
      </c>
      <c r="F228" t="s">
        <v>86</v>
      </c>
      <c r="G22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8" t="s">
        <v>92</v>
      </c>
      <c r="J228">
        <v>0</v>
      </c>
      <c r="K228" t="str">
        <f>Tabela2[[#This Row],[Nome_Colaborador]]&amp;";"</f>
        <v>ERITO NOGUEIRA ELIAS;</v>
      </c>
    </row>
    <row r="229" spans="1:11" hidden="1" x14ac:dyDescent="0.3">
      <c r="A229" s="12" t="s">
        <v>258</v>
      </c>
      <c r="B229" s="2">
        <v>0</v>
      </c>
      <c r="C229" s="2">
        <v>0</v>
      </c>
      <c r="D229" s="10" t="s">
        <v>356</v>
      </c>
      <c r="E229" t="str">
        <f>_xlfn.XLOOKUP(Tabela2[[#This Row],[Nome_Colaborador]],[1]Planilha1!$A:$A,[1]Planilha1!$B:$B,"")</f>
        <v>MARCOS</v>
      </c>
      <c r="F229" t="s">
        <v>86</v>
      </c>
      <c r="G22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29" t="s">
        <v>92</v>
      </c>
      <c r="J229">
        <v>0</v>
      </c>
      <c r="K229" t="str">
        <f>Tabela2[[#This Row],[Nome_Colaborador]]&amp;";"</f>
        <v>KEDMA PRISCILA PEREIRA SOARES;</v>
      </c>
    </row>
    <row r="230" spans="1:11" hidden="1" x14ac:dyDescent="0.3">
      <c r="A230" s="12" t="s">
        <v>259</v>
      </c>
      <c r="B230" s="2">
        <v>0</v>
      </c>
      <c r="C230" s="2">
        <v>0</v>
      </c>
      <c r="D230" s="10" t="s">
        <v>356</v>
      </c>
      <c r="E230" t="str">
        <f>_xlfn.XLOOKUP(Tabela2[[#This Row],[Nome_Colaborador]],[1]Planilha1!$A:$A,[1]Planilha1!$B:$B,"")</f>
        <v>MARCOS</v>
      </c>
      <c r="F230" t="s">
        <v>86</v>
      </c>
      <c r="G23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0" t="s">
        <v>92</v>
      </c>
      <c r="J230">
        <v>0</v>
      </c>
      <c r="K230" t="str">
        <f>Tabela2[[#This Row],[Nome_Colaborador]]&amp;";"</f>
        <v>EDISON MARCIANO DA SILVA;</v>
      </c>
    </row>
    <row r="231" spans="1:11" hidden="1" x14ac:dyDescent="0.3">
      <c r="A231" s="12" t="s">
        <v>260</v>
      </c>
      <c r="B231" s="2">
        <v>0</v>
      </c>
      <c r="C231" s="2">
        <v>0</v>
      </c>
      <c r="D231" s="10" t="s">
        <v>356</v>
      </c>
      <c r="E231" t="str">
        <f>_xlfn.XLOOKUP(Tabela2[[#This Row],[Nome_Colaborador]],[1]Planilha1!$A:$A,[1]Planilha1!$B:$B,"")</f>
        <v>MARCOS</v>
      </c>
      <c r="F231" t="s">
        <v>86</v>
      </c>
      <c r="G23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1" t="s">
        <v>92</v>
      </c>
      <c r="J231">
        <v>0</v>
      </c>
      <c r="K231" t="str">
        <f>Tabela2[[#This Row],[Nome_Colaborador]]&amp;";"</f>
        <v>LEILA ALVES DO ROSARIO;</v>
      </c>
    </row>
    <row r="232" spans="1:11" hidden="1" x14ac:dyDescent="0.3">
      <c r="A232" s="12" t="s">
        <v>261</v>
      </c>
      <c r="B232" s="2">
        <v>0</v>
      </c>
      <c r="C232" s="2">
        <v>0</v>
      </c>
      <c r="D232" s="10" t="s">
        <v>356</v>
      </c>
      <c r="E232" t="str">
        <f>_xlfn.XLOOKUP(Tabela2[[#This Row],[Nome_Colaborador]],[1]Planilha1!$A:$A,[1]Planilha1!$B:$B,"")</f>
        <v>MARCOS</v>
      </c>
      <c r="F232" t="s">
        <v>86</v>
      </c>
      <c r="G23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2" t="s">
        <v>92</v>
      </c>
      <c r="J232">
        <v>0</v>
      </c>
      <c r="K232" t="str">
        <f>Tabela2[[#This Row],[Nome_Colaborador]]&amp;";"</f>
        <v>MICHELE BESTER DE SOUZA;</v>
      </c>
    </row>
    <row r="233" spans="1:11" hidden="1" x14ac:dyDescent="0.3">
      <c r="A233" s="12" t="s">
        <v>262</v>
      </c>
      <c r="B233" s="2">
        <v>0</v>
      </c>
      <c r="C233" s="2">
        <v>0</v>
      </c>
      <c r="D233" s="10" t="s">
        <v>356</v>
      </c>
      <c r="E233" t="str">
        <f>_xlfn.XLOOKUP(Tabela2[[#This Row],[Nome_Colaborador]],[1]Planilha1!$A:$A,[1]Planilha1!$B:$B,"")</f>
        <v>MARCOS</v>
      </c>
      <c r="F233" t="s">
        <v>86</v>
      </c>
      <c r="G23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3" t="s">
        <v>92</v>
      </c>
      <c r="J233">
        <v>0</v>
      </c>
      <c r="K233" t="str">
        <f>Tabela2[[#This Row],[Nome_Colaborador]]&amp;";"</f>
        <v>JHENIFFER DE LIMA VICENTE DE OLIVEIRA CAVALCANTE;</v>
      </c>
    </row>
    <row r="234" spans="1:11" hidden="1" x14ac:dyDescent="0.3">
      <c r="A234" s="12" t="s">
        <v>263</v>
      </c>
      <c r="B234" s="2">
        <v>0</v>
      </c>
      <c r="C234" s="2">
        <v>0</v>
      </c>
      <c r="D234" s="10" t="s">
        <v>356</v>
      </c>
      <c r="E234" t="str">
        <f>_xlfn.XLOOKUP(Tabela2[[#This Row],[Nome_Colaborador]],[1]Planilha1!$A:$A,[1]Planilha1!$B:$B,"")</f>
        <v>MARCOS</v>
      </c>
      <c r="F234" t="s">
        <v>86</v>
      </c>
      <c r="G23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4" t="s">
        <v>92</v>
      </c>
      <c r="J234">
        <v>0</v>
      </c>
      <c r="K234" t="str">
        <f>Tabela2[[#This Row],[Nome_Colaborador]]&amp;";"</f>
        <v>MARILIS TRISTAO PIETRANGELO;</v>
      </c>
    </row>
    <row r="235" spans="1:11" hidden="1" x14ac:dyDescent="0.3">
      <c r="A235" s="3" t="s">
        <v>264</v>
      </c>
      <c r="B235" s="2">
        <v>0</v>
      </c>
      <c r="C235" s="2">
        <v>0</v>
      </c>
      <c r="D235" s="10" t="s">
        <v>356</v>
      </c>
      <c r="E235" t="str">
        <f>_xlfn.XLOOKUP(Tabela2[[#This Row],[Nome_Colaborador]],[1]Planilha1!$A:$A,[1]Planilha1!$B:$B,"")</f>
        <v>MARCOS</v>
      </c>
      <c r="F235" t="s">
        <v>86</v>
      </c>
      <c r="G23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5" t="s">
        <v>92</v>
      </c>
      <c r="J235">
        <v>0</v>
      </c>
      <c r="K235" t="str">
        <f>Tabela2[[#This Row],[Nome_Colaborador]]&amp;";"</f>
        <v>LUIZ HENRIQUE DE SOUZA;</v>
      </c>
    </row>
    <row r="236" spans="1:11" hidden="1" x14ac:dyDescent="0.3">
      <c r="A236" s="3" t="s">
        <v>265</v>
      </c>
      <c r="B236" s="2">
        <v>0</v>
      </c>
      <c r="C236" s="2">
        <v>0</v>
      </c>
      <c r="D236" s="10" t="s">
        <v>356</v>
      </c>
      <c r="E236" t="str">
        <f>_xlfn.XLOOKUP(Tabela2[[#This Row],[Nome_Colaborador]],[1]Planilha1!$A:$A,[1]Planilha1!$B:$B,"")</f>
        <v>MARCOS</v>
      </c>
      <c r="F236" t="s">
        <v>86</v>
      </c>
      <c r="G23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6" t="s">
        <v>92</v>
      </c>
      <c r="J236">
        <v>0</v>
      </c>
      <c r="K236" t="str">
        <f>Tabela2[[#This Row],[Nome_Colaborador]]&amp;";"</f>
        <v>EURRANA RAMOS ALVES;</v>
      </c>
    </row>
    <row r="237" spans="1:11" hidden="1" x14ac:dyDescent="0.3">
      <c r="A237" s="12" t="s">
        <v>266</v>
      </c>
      <c r="B237" s="2">
        <v>0</v>
      </c>
      <c r="C237" s="2">
        <v>0</v>
      </c>
      <c r="D237" s="10" t="s">
        <v>356</v>
      </c>
      <c r="E237" t="str">
        <f>_xlfn.XLOOKUP(Tabela2[[#This Row],[Nome_Colaborador]],[1]Planilha1!$A:$A,[1]Planilha1!$B:$B,"")</f>
        <v>MARCOS</v>
      </c>
      <c r="F237" t="s">
        <v>86</v>
      </c>
      <c r="G23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7" t="s">
        <v>92</v>
      </c>
      <c r="J237">
        <v>0</v>
      </c>
      <c r="K237" t="str">
        <f>Tabela2[[#This Row],[Nome_Colaborador]]&amp;";"</f>
        <v>CARMELINA MARCELLI DA CRUZ;</v>
      </c>
    </row>
    <row r="238" spans="1:11" hidden="1" x14ac:dyDescent="0.3">
      <c r="A238" s="12" t="s">
        <v>267</v>
      </c>
      <c r="B238" s="2">
        <v>0</v>
      </c>
      <c r="C238" s="2">
        <v>0</v>
      </c>
      <c r="D238" s="10" t="s">
        <v>356</v>
      </c>
      <c r="E238" t="str">
        <f>_xlfn.XLOOKUP(Tabela2[[#This Row],[Nome_Colaborador]],[1]Planilha1!$A:$A,[1]Planilha1!$B:$B,"")</f>
        <v>MARCOS</v>
      </c>
      <c r="F238" t="s">
        <v>86</v>
      </c>
      <c r="G23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8" t="s">
        <v>92</v>
      </c>
      <c r="J238">
        <v>0</v>
      </c>
      <c r="K238" t="str">
        <f>Tabela2[[#This Row],[Nome_Colaborador]]&amp;";"</f>
        <v>VINICIUS CARVALHO CHAGAS;</v>
      </c>
    </row>
    <row r="239" spans="1:11" hidden="1" x14ac:dyDescent="0.3">
      <c r="A239" s="3" t="s">
        <v>268</v>
      </c>
      <c r="B239" s="2">
        <v>0</v>
      </c>
      <c r="C239" s="2">
        <v>0</v>
      </c>
      <c r="D239" s="10" t="s">
        <v>356</v>
      </c>
      <c r="E239" t="str">
        <f>_xlfn.XLOOKUP(Tabela2[[#This Row],[Nome_Colaborador]],[1]Planilha1!$A:$A,[1]Planilha1!$B:$B,"")</f>
        <v>MARCOS</v>
      </c>
      <c r="F239" t="s">
        <v>86</v>
      </c>
      <c r="G23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39" t="s">
        <v>92</v>
      </c>
      <c r="J239">
        <v>0</v>
      </c>
      <c r="K239" t="str">
        <f>Tabela2[[#This Row],[Nome_Colaborador]]&amp;";"</f>
        <v>ANA KELLI DE OLIVEIRA DA SILVA;</v>
      </c>
    </row>
    <row r="240" spans="1:11" hidden="1" x14ac:dyDescent="0.3">
      <c r="A240" s="16" t="s">
        <v>269</v>
      </c>
      <c r="B240" s="2">
        <v>0</v>
      </c>
      <c r="C240" s="2">
        <v>0</v>
      </c>
      <c r="D240" s="10" t="s">
        <v>356</v>
      </c>
      <c r="E240" t="str">
        <f>_xlfn.XLOOKUP(Tabela2[[#This Row],[Nome_Colaborador]],[1]Planilha1!$A:$A,[1]Planilha1!$B:$B,"")</f>
        <v>MARCOS</v>
      </c>
      <c r="F240" t="s">
        <v>86</v>
      </c>
      <c r="G24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0" t="s">
        <v>92</v>
      </c>
      <c r="J240">
        <v>0</v>
      </c>
      <c r="K240" t="str">
        <f>Tabela2[[#This Row],[Nome_Colaborador]]&amp;";"</f>
        <v>DIEGO ALAYON CAMARA;</v>
      </c>
    </row>
    <row r="241" spans="1:11" hidden="1" x14ac:dyDescent="0.3">
      <c r="A241" s="3" t="s">
        <v>270</v>
      </c>
      <c r="B241" s="2">
        <v>0</v>
      </c>
      <c r="C241" s="2">
        <v>0</v>
      </c>
      <c r="D241" s="10" t="s">
        <v>356</v>
      </c>
      <c r="E241" t="str">
        <f>_xlfn.XLOOKUP(Tabela2[[#This Row],[Nome_Colaborador]],[1]Planilha1!$A:$A,[1]Planilha1!$B:$B,"")</f>
        <v>MARCOS</v>
      </c>
      <c r="F241" t="s">
        <v>86</v>
      </c>
      <c r="G24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1" t="s">
        <v>92</v>
      </c>
      <c r="J241">
        <v>0</v>
      </c>
      <c r="K241" t="str">
        <f>Tabela2[[#This Row],[Nome_Colaborador]]&amp;";"</f>
        <v>GABRIEL VIEIRA DE SALES ;</v>
      </c>
    </row>
    <row r="242" spans="1:11" hidden="1" x14ac:dyDescent="0.3">
      <c r="A242" s="12" t="s">
        <v>271</v>
      </c>
      <c r="B242" s="2">
        <v>0</v>
      </c>
      <c r="C242" s="2">
        <v>0</v>
      </c>
      <c r="D242" s="10" t="s">
        <v>356</v>
      </c>
      <c r="E242" t="str">
        <f>_xlfn.XLOOKUP(Tabela2[[#This Row],[Nome_Colaborador]],[1]Planilha1!$A:$A,[1]Planilha1!$B:$B,"")</f>
        <v>MARCOS</v>
      </c>
      <c r="F242" t="s">
        <v>86</v>
      </c>
      <c r="G24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2" t="s">
        <v>92</v>
      </c>
      <c r="J242">
        <v>0</v>
      </c>
      <c r="K242" t="str">
        <f>Tabela2[[#This Row],[Nome_Colaborador]]&amp;";"</f>
        <v>ANTONIO REINALDO DA SILVA;</v>
      </c>
    </row>
    <row r="243" spans="1:11" hidden="1" x14ac:dyDescent="0.3">
      <c r="A243" s="12" t="s">
        <v>272</v>
      </c>
      <c r="B243" s="2">
        <v>0</v>
      </c>
      <c r="C243" s="2">
        <v>0</v>
      </c>
      <c r="D243" s="10" t="s">
        <v>356</v>
      </c>
      <c r="E243" t="str">
        <f>_xlfn.XLOOKUP(Tabela2[[#This Row],[Nome_Colaborador]],[1]Planilha1!$A:$A,[1]Planilha1!$B:$B,"")</f>
        <v>MARCOS</v>
      </c>
      <c r="F243" t="s">
        <v>86</v>
      </c>
      <c r="G24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3" t="s">
        <v>92</v>
      </c>
      <c r="J243">
        <v>0</v>
      </c>
      <c r="K243" t="str">
        <f>Tabela2[[#This Row],[Nome_Colaborador]]&amp;";"</f>
        <v>CAROLINE AUGUSTA VIEIRA DE SOUZA;</v>
      </c>
    </row>
    <row r="244" spans="1:11" hidden="1" x14ac:dyDescent="0.3">
      <c r="A244" s="3" t="s">
        <v>273</v>
      </c>
      <c r="B244" s="2">
        <v>0</v>
      </c>
      <c r="C244" s="2">
        <v>0</v>
      </c>
      <c r="D244" s="10" t="s">
        <v>356</v>
      </c>
      <c r="E244" t="str">
        <f>_xlfn.XLOOKUP(Tabela2[[#This Row],[Nome_Colaborador]],[1]Planilha1!$A:$A,[1]Planilha1!$B:$B,"")</f>
        <v>MARCOS</v>
      </c>
      <c r="F244" t="s">
        <v>86</v>
      </c>
      <c r="G24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4" t="s">
        <v>92</v>
      </c>
      <c r="J244">
        <v>0</v>
      </c>
      <c r="K244" t="str">
        <f>Tabela2[[#This Row],[Nome_Colaborador]]&amp;";"</f>
        <v>ANDRIA DANIELLE DE LIMA;</v>
      </c>
    </row>
    <row r="245" spans="1:11" hidden="1" x14ac:dyDescent="0.3">
      <c r="A245" s="12" t="s">
        <v>274</v>
      </c>
      <c r="B245" s="2">
        <v>0</v>
      </c>
      <c r="C245" s="2">
        <v>0</v>
      </c>
      <c r="D245" s="10" t="s">
        <v>356</v>
      </c>
      <c r="E245" t="str">
        <f>_xlfn.XLOOKUP(Tabela2[[#This Row],[Nome_Colaborador]],[1]Planilha1!$A:$A,[1]Planilha1!$B:$B,"")</f>
        <v>MARCOS</v>
      </c>
      <c r="F245" t="s">
        <v>86</v>
      </c>
      <c r="G24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5" t="s">
        <v>92</v>
      </c>
      <c r="J245">
        <v>0</v>
      </c>
      <c r="K245" t="str">
        <f>Tabela2[[#This Row],[Nome_Colaborador]]&amp;";"</f>
        <v>MARLLON FANTE BOITA;</v>
      </c>
    </row>
    <row r="246" spans="1:11" hidden="1" x14ac:dyDescent="0.3">
      <c r="A246" s="3" t="s">
        <v>275</v>
      </c>
      <c r="B246" s="2">
        <v>0</v>
      </c>
      <c r="C246" s="2">
        <v>0</v>
      </c>
      <c r="D246" s="10" t="s">
        <v>356</v>
      </c>
      <c r="E246" t="str">
        <f>_xlfn.XLOOKUP(Tabela2[[#This Row],[Nome_Colaborador]],[1]Planilha1!$A:$A,[1]Planilha1!$B:$B,"")</f>
        <v>MARCOS</v>
      </c>
      <c r="F246" t="s">
        <v>86</v>
      </c>
      <c r="G24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6" t="s">
        <v>92</v>
      </c>
      <c r="J246">
        <v>0</v>
      </c>
      <c r="K246" t="str">
        <f>Tabela2[[#This Row],[Nome_Colaborador]]&amp;";"</f>
        <v>PEDRO PAULO CARDOSO MENDES;</v>
      </c>
    </row>
    <row r="247" spans="1:11" hidden="1" x14ac:dyDescent="0.3">
      <c r="A247" s="12" t="s">
        <v>276</v>
      </c>
      <c r="B247" s="2">
        <v>0</v>
      </c>
      <c r="C247" s="2">
        <v>0</v>
      </c>
      <c r="D247" s="10" t="s">
        <v>356</v>
      </c>
      <c r="E247" t="str">
        <f>_xlfn.XLOOKUP(Tabela2[[#This Row],[Nome_Colaborador]],[1]Planilha1!$A:$A,[1]Planilha1!$B:$B,"")</f>
        <v>MARCOS</v>
      </c>
      <c r="F247" t="s">
        <v>86</v>
      </c>
      <c r="G24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7" t="s">
        <v>92</v>
      </c>
      <c r="J247">
        <v>0</v>
      </c>
      <c r="K247" t="str">
        <f>Tabela2[[#This Row],[Nome_Colaborador]]&amp;";"</f>
        <v>ALLINE CAMARGO DA SILVA;</v>
      </c>
    </row>
    <row r="248" spans="1:11" hidden="1" x14ac:dyDescent="0.3">
      <c r="A248" s="3" t="s">
        <v>277</v>
      </c>
      <c r="B248" s="2">
        <v>0</v>
      </c>
      <c r="C248" s="2">
        <v>0</v>
      </c>
      <c r="D248" s="10" t="s">
        <v>356</v>
      </c>
      <c r="E248" t="str">
        <f>_xlfn.XLOOKUP(Tabela2[[#This Row],[Nome_Colaborador]],[1]Planilha1!$A:$A,[1]Planilha1!$B:$B,"")</f>
        <v>MARCOS</v>
      </c>
      <c r="F248" t="s">
        <v>86</v>
      </c>
      <c r="G24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8" t="s">
        <v>92</v>
      </c>
      <c r="J248">
        <v>0</v>
      </c>
      <c r="K248" t="str">
        <f>Tabela2[[#This Row],[Nome_Colaborador]]&amp;";"</f>
        <v>ISRAEL RIBEIRO GIBIM;</v>
      </c>
    </row>
    <row r="249" spans="1:11" hidden="1" x14ac:dyDescent="0.3">
      <c r="A249" s="3" t="s">
        <v>278</v>
      </c>
      <c r="B249" s="2">
        <v>0</v>
      </c>
      <c r="C249" s="2">
        <v>0</v>
      </c>
      <c r="D249" s="10" t="s">
        <v>356</v>
      </c>
      <c r="E249" t="str">
        <f>_xlfn.XLOOKUP(Tabela2[[#This Row],[Nome_Colaborador]],[1]Planilha1!$A:$A,[1]Planilha1!$B:$B,"")</f>
        <v>MARCOS</v>
      </c>
      <c r="F249" t="s">
        <v>86</v>
      </c>
      <c r="G24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49" t="s">
        <v>92</v>
      </c>
      <c r="J249">
        <v>0</v>
      </c>
      <c r="K249" t="str">
        <f>Tabela2[[#This Row],[Nome_Colaborador]]&amp;";"</f>
        <v>ELISSANDRO ANTONIO SIKORA;</v>
      </c>
    </row>
    <row r="250" spans="1:11" hidden="1" x14ac:dyDescent="0.3">
      <c r="A250" s="3" t="s">
        <v>279</v>
      </c>
      <c r="B250" s="2">
        <v>0</v>
      </c>
      <c r="C250" s="2">
        <v>0</v>
      </c>
      <c r="D250" s="10" t="s">
        <v>356</v>
      </c>
      <c r="E250" t="str">
        <f>_xlfn.XLOOKUP(Tabela2[[#This Row],[Nome_Colaborador]],[1]Planilha1!$A:$A,[1]Planilha1!$B:$B,"")</f>
        <v>MARCOS</v>
      </c>
      <c r="F250" t="s">
        <v>86</v>
      </c>
      <c r="G25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0" t="s">
        <v>92</v>
      </c>
      <c r="J250">
        <v>0</v>
      </c>
      <c r="K250" t="str">
        <f>Tabela2[[#This Row],[Nome_Colaborador]]&amp;";"</f>
        <v>NATAN FELIPE DOS SANTOS RIBAS;</v>
      </c>
    </row>
    <row r="251" spans="1:11" hidden="1" x14ac:dyDescent="0.3">
      <c r="A251" s="3" t="s">
        <v>280</v>
      </c>
      <c r="B251" s="2">
        <v>0</v>
      </c>
      <c r="C251" s="2">
        <v>0</v>
      </c>
      <c r="D251" s="10" t="s">
        <v>356</v>
      </c>
      <c r="E251" t="str">
        <f>_xlfn.XLOOKUP(Tabela2[[#This Row],[Nome_Colaborador]],[1]Planilha1!$A:$A,[1]Planilha1!$B:$B,"")</f>
        <v>MARCOS</v>
      </c>
      <c r="F251" t="s">
        <v>86</v>
      </c>
      <c r="G25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1" t="s">
        <v>92</v>
      </c>
      <c r="J251">
        <v>0</v>
      </c>
      <c r="K251" t="str">
        <f>Tabela2[[#This Row],[Nome_Colaborador]]&amp;";"</f>
        <v>LUANA GABRIELE MARTY;</v>
      </c>
    </row>
    <row r="252" spans="1:11" hidden="1" x14ac:dyDescent="0.3">
      <c r="A252" s="12" t="s">
        <v>281</v>
      </c>
      <c r="B252" s="2">
        <v>0</v>
      </c>
      <c r="C252" s="2">
        <v>0</v>
      </c>
      <c r="D252" s="10" t="s">
        <v>356</v>
      </c>
      <c r="E252" t="str">
        <f>_xlfn.XLOOKUP(Tabela2[[#This Row],[Nome_Colaborador]],[1]Planilha1!$A:$A,[1]Planilha1!$B:$B,"")</f>
        <v>MARCOS</v>
      </c>
      <c r="F252" t="s">
        <v>86</v>
      </c>
      <c r="G25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2" t="s">
        <v>92</v>
      </c>
      <c r="J252">
        <v>0</v>
      </c>
      <c r="K252" t="str">
        <f>Tabela2[[#This Row],[Nome_Colaborador]]&amp;";"</f>
        <v>WILSON APARECIDO SILVERIO CORREA JUNIOR;</v>
      </c>
    </row>
    <row r="253" spans="1:11" hidden="1" x14ac:dyDescent="0.3">
      <c r="A253" s="12" t="s">
        <v>282</v>
      </c>
      <c r="B253" s="2">
        <v>0</v>
      </c>
      <c r="C253" s="2">
        <v>0</v>
      </c>
      <c r="D253" s="10" t="s">
        <v>356</v>
      </c>
      <c r="E253" t="str">
        <f>_xlfn.XLOOKUP(Tabela2[[#This Row],[Nome_Colaborador]],[1]Planilha1!$A:$A,[1]Planilha1!$B:$B,"")</f>
        <v>MARCOS</v>
      </c>
      <c r="F253" t="s">
        <v>86</v>
      </c>
      <c r="G25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3" t="s">
        <v>92</v>
      </c>
      <c r="J253">
        <v>0</v>
      </c>
      <c r="K253" t="str">
        <f>Tabela2[[#This Row],[Nome_Colaborador]]&amp;";"</f>
        <v>ROZILENE LIMA BRUSKI DIAS;</v>
      </c>
    </row>
    <row r="254" spans="1:11" hidden="1" x14ac:dyDescent="0.3">
      <c r="A254" s="16" t="s">
        <v>283</v>
      </c>
      <c r="B254" s="2">
        <v>0</v>
      </c>
      <c r="C254" s="2">
        <v>0</v>
      </c>
      <c r="D254" s="10" t="s">
        <v>356</v>
      </c>
      <c r="E254" t="str">
        <f>_xlfn.XLOOKUP(Tabela2[[#This Row],[Nome_Colaborador]],[1]Planilha1!$A:$A,[1]Planilha1!$B:$B,"")</f>
        <v>MARCOS</v>
      </c>
      <c r="F254" t="s">
        <v>86</v>
      </c>
      <c r="G25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4" t="s">
        <v>92</v>
      </c>
      <c r="J254">
        <v>0</v>
      </c>
      <c r="K254" t="str">
        <f>Tabela2[[#This Row],[Nome_Colaborador]]&amp;";"</f>
        <v>THAYNARA CRISTINE DE PAULA CORDEIRO;</v>
      </c>
    </row>
    <row r="255" spans="1:11" hidden="1" x14ac:dyDescent="0.3">
      <c r="A255" s="12" t="s">
        <v>284</v>
      </c>
      <c r="B255" s="2">
        <v>0</v>
      </c>
      <c r="C255" s="2">
        <v>0</v>
      </c>
      <c r="D255" s="10" t="s">
        <v>356</v>
      </c>
      <c r="E255" t="str">
        <f>_xlfn.XLOOKUP(Tabela2[[#This Row],[Nome_Colaborador]],[1]Planilha1!$A:$A,[1]Planilha1!$B:$B,"")</f>
        <v>MARCOS</v>
      </c>
      <c r="F255" t="s">
        <v>86</v>
      </c>
      <c r="G25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5" t="s">
        <v>92</v>
      </c>
      <c r="J255">
        <v>0</v>
      </c>
      <c r="K255" t="str">
        <f>Tabela2[[#This Row],[Nome_Colaborador]]&amp;";"</f>
        <v>CRISTIANE MOREIRA ALVES;</v>
      </c>
    </row>
    <row r="256" spans="1:11" hidden="1" x14ac:dyDescent="0.3">
      <c r="A256" s="12" t="s">
        <v>285</v>
      </c>
      <c r="B256" s="2">
        <v>0</v>
      </c>
      <c r="C256" s="2">
        <v>0</v>
      </c>
      <c r="D256" s="10" t="s">
        <v>356</v>
      </c>
      <c r="E256" t="str">
        <f>_xlfn.XLOOKUP(Tabela2[[#This Row],[Nome_Colaborador]],[1]Planilha1!$A:$A,[1]Planilha1!$B:$B,"")</f>
        <v>MARCOS</v>
      </c>
      <c r="F256" t="s">
        <v>86</v>
      </c>
      <c r="G25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6" t="s">
        <v>92</v>
      </c>
      <c r="J256">
        <v>0</v>
      </c>
      <c r="K256" t="str">
        <f>Tabela2[[#This Row],[Nome_Colaborador]]&amp;";"</f>
        <v>WILLIAN DE LIMA GOUVEIA;</v>
      </c>
    </row>
    <row r="257" spans="1:11" hidden="1" x14ac:dyDescent="0.3">
      <c r="A257" s="12" t="s">
        <v>286</v>
      </c>
      <c r="B257" s="2">
        <v>0</v>
      </c>
      <c r="C257" s="2">
        <v>0</v>
      </c>
      <c r="D257" s="10" t="s">
        <v>356</v>
      </c>
      <c r="E257" t="str">
        <f>_xlfn.XLOOKUP(Tabela2[[#This Row],[Nome_Colaborador]],[1]Planilha1!$A:$A,[1]Planilha1!$B:$B,"")</f>
        <v>MARCOS</v>
      </c>
      <c r="F257" t="s">
        <v>86</v>
      </c>
      <c r="G25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7" t="s">
        <v>92</v>
      </c>
      <c r="J257">
        <v>0</v>
      </c>
      <c r="K257" t="str">
        <f>Tabela2[[#This Row],[Nome_Colaborador]]&amp;";"</f>
        <v>ERICSON CRISTIANO ZANLORENS;</v>
      </c>
    </row>
    <row r="258" spans="1:11" hidden="1" x14ac:dyDescent="0.3">
      <c r="A258" s="3" t="s">
        <v>287</v>
      </c>
      <c r="B258" s="2">
        <v>0</v>
      </c>
      <c r="C258" s="2">
        <v>0</v>
      </c>
      <c r="D258" s="10" t="s">
        <v>356</v>
      </c>
      <c r="E258" t="str">
        <f>_xlfn.XLOOKUP(Tabela2[[#This Row],[Nome_Colaborador]],[1]Planilha1!$A:$A,[1]Planilha1!$B:$B,"")</f>
        <v>MARCOS</v>
      </c>
      <c r="F258" t="s">
        <v>86</v>
      </c>
      <c r="G25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8" t="s">
        <v>92</v>
      </c>
      <c r="J258">
        <v>0</v>
      </c>
      <c r="K258" t="str">
        <f>Tabela2[[#This Row],[Nome_Colaborador]]&amp;";"</f>
        <v>ANDERSON DE LIMA DA SILVA;</v>
      </c>
    </row>
    <row r="259" spans="1:11" hidden="1" x14ac:dyDescent="0.3">
      <c r="A259" s="12" t="s">
        <v>288</v>
      </c>
      <c r="B259" s="2">
        <v>0</v>
      </c>
      <c r="C259" s="2">
        <v>0</v>
      </c>
      <c r="D259" s="10" t="s">
        <v>356</v>
      </c>
      <c r="E259" t="str">
        <f>_xlfn.XLOOKUP(Tabela2[[#This Row],[Nome_Colaborador]],[1]Planilha1!$A:$A,[1]Planilha1!$B:$B,"")</f>
        <v>MARCOS</v>
      </c>
      <c r="F259" t="s">
        <v>86</v>
      </c>
      <c r="G25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59" t="s">
        <v>92</v>
      </c>
      <c r="J259">
        <v>0</v>
      </c>
      <c r="K259" t="str">
        <f>Tabela2[[#This Row],[Nome_Colaborador]]&amp;";"</f>
        <v>ARIANE DIAS DA SILVA;</v>
      </c>
    </row>
    <row r="260" spans="1:11" hidden="1" x14ac:dyDescent="0.3">
      <c r="A260" s="12" t="s">
        <v>289</v>
      </c>
      <c r="B260" s="2">
        <v>0</v>
      </c>
      <c r="C260" s="2">
        <v>0</v>
      </c>
      <c r="D260" s="10" t="s">
        <v>356</v>
      </c>
      <c r="E260" t="str">
        <f>_xlfn.XLOOKUP(Tabela2[[#This Row],[Nome_Colaborador]],[1]Planilha1!$A:$A,[1]Planilha1!$B:$B,"")</f>
        <v>MARCOS</v>
      </c>
      <c r="F260" t="s">
        <v>86</v>
      </c>
      <c r="G26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0" t="s">
        <v>92</v>
      </c>
      <c r="J260">
        <v>0</v>
      </c>
      <c r="K260" t="str">
        <f>Tabela2[[#This Row],[Nome_Colaborador]]&amp;";"</f>
        <v>MAYRA TONCZAK DE AZEVEDO;</v>
      </c>
    </row>
    <row r="261" spans="1:11" hidden="1" x14ac:dyDescent="0.3">
      <c r="A261" s="3" t="s">
        <v>290</v>
      </c>
      <c r="B261" s="2">
        <v>0</v>
      </c>
      <c r="C261" s="2">
        <v>0</v>
      </c>
      <c r="D261" s="10" t="s">
        <v>356</v>
      </c>
      <c r="E261" t="str">
        <f>_xlfn.XLOOKUP(Tabela2[[#This Row],[Nome_Colaborador]],[1]Planilha1!$A:$A,[1]Planilha1!$B:$B,"")</f>
        <v>MARCOS</v>
      </c>
      <c r="F261" t="s">
        <v>86</v>
      </c>
      <c r="G26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1" t="s">
        <v>92</v>
      </c>
      <c r="J261">
        <v>0</v>
      </c>
      <c r="K261" t="str">
        <f>Tabela2[[#This Row],[Nome_Colaborador]]&amp;";"</f>
        <v>LUANA LARISSA SILVA MOREIRA;</v>
      </c>
    </row>
    <row r="262" spans="1:11" hidden="1" x14ac:dyDescent="0.3">
      <c r="A262" s="3" t="s">
        <v>291</v>
      </c>
      <c r="B262" s="2">
        <v>0</v>
      </c>
      <c r="C262" s="2">
        <v>0</v>
      </c>
      <c r="D262" s="10" t="s">
        <v>356</v>
      </c>
      <c r="E262" t="str">
        <f>_xlfn.XLOOKUP(Tabela2[[#This Row],[Nome_Colaborador]],[1]Planilha1!$A:$A,[1]Planilha1!$B:$B,"")</f>
        <v>MARCOS</v>
      </c>
      <c r="F262" t="s">
        <v>86</v>
      </c>
      <c r="G26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2" t="s">
        <v>92</v>
      </c>
      <c r="J262">
        <v>0</v>
      </c>
      <c r="K262" t="str">
        <f>Tabela2[[#This Row],[Nome_Colaborador]]&amp;";"</f>
        <v>CARLOS EDUARDO DO COUTO;</v>
      </c>
    </row>
    <row r="263" spans="1:11" hidden="1" x14ac:dyDescent="0.3">
      <c r="A263" s="3" t="s">
        <v>292</v>
      </c>
      <c r="B263" s="2">
        <v>0</v>
      </c>
      <c r="C263" s="2">
        <v>0</v>
      </c>
      <c r="D263" s="10" t="s">
        <v>356</v>
      </c>
      <c r="E263" t="str">
        <f>_xlfn.XLOOKUP(Tabela2[[#This Row],[Nome_Colaborador]],[1]Planilha1!$A:$A,[1]Planilha1!$B:$B,"")</f>
        <v>MARCOS</v>
      </c>
      <c r="F263" t="s">
        <v>86</v>
      </c>
      <c r="G26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3" t="s">
        <v>92</v>
      </c>
      <c r="J263">
        <v>0</v>
      </c>
      <c r="K263" t="str">
        <f>Tabela2[[#This Row],[Nome_Colaborador]]&amp;";"</f>
        <v>MAYARA DE OLIVIERA PERES;</v>
      </c>
    </row>
    <row r="264" spans="1:11" hidden="1" x14ac:dyDescent="0.3">
      <c r="A264" s="12" t="s">
        <v>293</v>
      </c>
      <c r="B264" s="2">
        <v>0</v>
      </c>
      <c r="C264" s="2">
        <v>0</v>
      </c>
      <c r="D264" s="10" t="s">
        <v>356</v>
      </c>
      <c r="E264" t="str">
        <f>_xlfn.XLOOKUP(Tabela2[[#This Row],[Nome_Colaborador]],[1]Planilha1!$A:$A,[1]Planilha1!$B:$B,"")</f>
        <v>MARCOS</v>
      </c>
      <c r="F264" t="s">
        <v>86</v>
      </c>
      <c r="G26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4" t="s">
        <v>92</v>
      </c>
      <c r="J264">
        <v>0</v>
      </c>
      <c r="K264" t="str">
        <f>Tabela2[[#This Row],[Nome_Colaborador]]&amp;";"</f>
        <v>VANIRICE CORDEIRO BRITES;</v>
      </c>
    </row>
    <row r="265" spans="1:11" hidden="1" x14ac:dyDescent="0.3">
      <c r="A265" s="12" t="s">
        <v>294</v>
      </c>
      <c r="B265" s="2">
        <v>0</v>
      </c>
      <c r="C265" s="2">
        <v>0</v>
      </c>
      <c r="D265" s="10" t="s">
        <v>356</v>
      </c>
      <c r="E265" t="str">
        <f>_xlfn.XLOOKUP(Tabela2[[#This Row],[Nome_Colaborador]],[1]Planilha1!$A:$A,[1]Planilha1!$B:$B,"")</f>
        <v>MARCOS</v>
      </c>
      <c r="F265" t="s">
        <v>86</v>
      </c>
      <c r="G26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5" t="s">
        <v>92</v>
      </c>
      <c r="J265">
        <v>0</v>
      </c>
      <c r="K265" t="str">
        <f>Tabela2[[#This Row],[Nome_Colaborador]]&amp;";"</f>
        <v>LUCIANO HENRIQUE DA SILVA;</v>
      </c>
    </row>
    <row r="266" spans="1:11" hidden="1" x14ac:dyDescent="0.3">
      <c r="A266" s="12" t="s">
        <v>295</v>
      </c>
      <c r="B266" s="2">
        <v>0</v>
      </c>
      <c r="C266" s="2">
        <v>0</v>
      </c>
      <c r="D266" s="10" t="s">
        <v>356</v>
      </c>
      <c r="E266" t="str">
        <f>_xlfn.XLOOKUP(Tabela2[[#This Row],[Nome_Colaborador]],[1]Planilha1!$A:$A,[1]Planilha1!$B:$B,"")</f>
        <v>MARCOS</v>
      </c>
      <c r="F266" t="s">
        <v>86</v>
      </c>
      <c r="G26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6" t="s">
        <v>92</v>
      </c>
      <c r="J266">
        <v>0</v>
      </c>
      <c r="K266" t="str">
        <f>Tabela2[[#This Row],[Nome_Colaborador]]&amp;";"</f>
        <v>GIOVANNA CORREIA PAZIN;</v>
      </c>
    </row>
    <row r="267" spans="1:11" hidden="1" x14ac:dyDescent="0.3">
      <c r="A267" s="3" t="s">
        <v>296</v>
      </c>
      <c r="B267" s="2">
        <v>0</v>
      </c>
      <c r="C267" s="2">
        <v>0</v>
      </c>
      <c r="D267" s="10" t="s">
        <v>356</v>
      </c>
      <c r="E267" t="str">
        <f>_xlfn.XLOOKUP(Tabela2[[#This Row],[Nome_Colaborador]],[1]Planilha1!$A:$A,[1]Planilha1!$B:$B,"")</f>
        <v>MARCOS</v>
      </c>
      <c r="F267" t="s">
        <v>86</v>
      </c>
      <c r="G26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7" t="s">
        <v>92</v>
      </c>
      <c r="J267">
        <v>0</v>
      </c>
      <c r="K267" t="str">
        <f>Tabela2[[#This Row],[Nome_Colaborador]]&amp;";"</f>
        <v>DENIELS ALEXANDER SCHMIDT ASEVEDO ;</v>
      </c>
    </row>
    <row r="268" spans="1:11" hidden="1" x14ac:dyDescent="0.3">
      <c r="A268" s="3" t="s">
        <v>297</v>
      </c>
      <c r="B268" s="2">
        <v>0</v>
      </c>
      <c r="C268" s="2">
        <v>0</v>
      </c>
      <c r="D268" s="10" t="s">
        <v>356</v>
      </c>
      <c r="E268" t="str">
        <f>_xlfn.XLOOKUP(Tabela2[[#This Row],[Nome_Colaborador]],[1]Planilha1!$A:$A,[1]Planilha1!$B:$B,"")</f>
        <v>MARCOS</v>
      </c>
      <c r="F268" t="s">
        <v>86</v>
      </c>
      <c r="G26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8" t="s">
        <v>92</v>
      </c>
      <c r="J268">
        <v>0</v>
      </c>
      <c r="K268" t="str">
        <f>Tabela2[[#This Row],[Nome_Colaborador]]&amp;";"</f>
        <v>ALESSANDRA SANTOS E SANTOS;</v>
      </c>
    </row>
    <row r="269" spans="1:11" hidden="1" x14ac:dyDescent="0.3">
      <c r="A269" s="12" t="s">
        <v>298</v>
      </c>
      <c r="B269" s="2">
        <v>0</v>
      </c>
      <c r="C269" s="2">
        <v>0</v>
      </c>
      <c r="D269" s="10" t="s">
        <v>356</v>
      </c>
      <c r="E269" t="str">
        <f>_xlfn.XLOOKUP(Tabela2[[#This Row],[Nome_Colaborador]],[1]Planilha1!$A:$A,[1]Planilha1!$B:$B,"")</f>
        <v>MARCOS</v>
      </c>
      <c r="F269" t="s">
        <v>86</v>
      </c>
      <c r="G26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69" t="s">
        <v>92</v>
      </c>
      <c r="J269">
        <v>0</v>
      </c>
      <c r="K269" t="str">
        <f>Tabela2[[#This Row],[Nome_Colaborador]]&amp;";"</f>
        <v>DEOCLÉSIA BRASIL ;</v>
      </c>
    </row>
    <row r="270" spans="1:11" hidden="1" x14ac:dyDescent="0.3">
      <c r="A270" s="12" t="s">
        <v>299</v>
      </c>
      <c r="B270" s="2">
        <v>0</v>
      </c>
      <c r="C270" s="2">
        <v>0</v>
      </c>
      <c r="D270" s="10" t="s">
        <v>356</v>
      </c>
      <c r="E270" t="str">
        <f>_xlfn.XLOOKUP(Tabela2[[#This Row],[Nome_Colaborador]],[1]Planilha1!$A:$A,[1]Planilha1!$B:$B,"")</f>
        <v>MARCOS</v>
      </c>
      <c r="F270" t="s">
        <v>86</v>
      </c>
      <c r="G27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0" t="s">
        <v>92</v>
      </c>
      <c r="J270">
        <v>0</v>
      </c>
      <c r="K270" t="str">
        <f>Tabela2[[#This Row],[Nome_Colaborador]]&amp;";"</f>
        <v>DANIELLE COSTA ALVES DA SILVA;</v>
      </c>
    </row>
    <row r="271" spans="1:11" hidden="1" x14ac:dyDescent="0.3">
      <c r="A271" s="12" t="s">
        <v>300</v>
      </c>
      <c r="B271" s="2">
        <v>0</v>
      </c>
      <c r="C271" s="2">
        <v>0</v>
      </c>
      <c r="D271" s="10" t="s">
        <v>356</v>
      </c>
      <c r="E271" t="str">
        <f>_xlfn.XLOOKUP(Tabela2[[#This Row],[Nome_Colaborador]],[1]Planilha1!$A:$A,[1]Planilha1!$B:$B,"")</f>
        <v>MARCOS</v>
      </c>
      <c r="F271" t="s">
        <v>86</v>
      </c>
      <c r="G27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1" t="s">
        <v>92</v>
      </c>
      <c r="J271">
        <v>0</v>
      </c>
      <c r="K271" t="str">
        <f>Tabela2[[#This Row],[Nome_Colaborador]]&amp;";"</f>
        <v>JACKSON TABORDA BUENO;</v>
      </c>
    </row>
    <row r="272" spans="1:11" hidden="1" x14ac:dyDescent="0.3">
      <c r="A272" s="12" t="s">
        <v>301</v>
      </c>
      <c r="B272" s="2">
        <v>0</v>
      </c>
      <c r="C272" s="2">
        <v>0</v>
      </c>
      <c r="D272" s="10" t="s">
        <v>356</v>
      </c>
      <c r="E272" t="str">
        <f>_xlfn.XLOOKUP(Tabela2[[#This Row],[Nome_Colaborador]],[1]Planilha1!$A:$A,[1]Planilha1!$B:$B,"")</f>
        <v>MARCOS</v>
      </c>
      <c r="F272" t="s">
        <v>86</v>
      </c>
      <c r="G27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2" t="s">
        <v>92</v>
      </c>
      <c r="J272">
        <v>0</v>
      </c>
      <c r="K272" t="str">
        <f>Tabela2[[#This Row],[Nome_Colaborador]]&amp;";"</f>
        <v>FRANCIELE DIAS LOURENCO DOS SANTOS;</v>
      </c>
    </row>
    <row r="273" spans="1:11" hidden="1" x14ac:dyDescent="0.3">
      <c r="A273" s="17" t="s">
        <v>302</v>
      </c>
      <c r="B273" s="2">
        <v>0</v>
      </c>
      <c r="C273" s="2">
        <v>0</v>
      </c>
      <c r="D273" s="10" t="s">
        <v>356</v>
      </c>
      <c r="E273" t="str">
        <f>_xlfn.XLOOKUP(Tabela2[[#This Row],[Nome_Colaborador]],[1]Planilha1!$A:$A,[1]Planilha1!$B:$B,"")</f>
        <v>MARCOS</v>
      </c>
      <c r="F273" t="s">
        <v>86</v>
      </c>
      <c r="G27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3" t="s">
        <v>92</v>
      </c>
      <c r="J273">
        <v>0</v>
      </c>
      <c r="K273" t="str">
        <f>Tabela2[[#This Row],[Nome_Colaborador]]&amp;";"</f>
        <v>ROBERTA FERREIRA COLAÇO BELO;</v>
      </c>
    </row>
    <row r="274" spans="1:11" hidden="1" x14ac:dyDescent="0.3">
      <c r="A274" s="18" t="s">
        <v>303</v>
      </c>
      <c r="B274" s="2">
        <v>0</v>
      </c>
      <c r="C274" s="2">
        <v>0</v>
      </c>
      <c r="D274" s="10" t="s">
        <v>356</v>
      </c>
      <c r="E274" t="str">
        <f>_xlfn.XLOOKUP(Tabela2[[#This Row],[Nome_Colaborador]],[1]Planilha1!$A:$A,[1]Planilha1!$B:$B,"")</f>
        <v>MARCOS</v>
      </c>
      <c r="F274" t="s">
        <v>86</v>
      </c>
      <c r="G27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4" t="s">
        <v>92</v>
      </c>
      <c r="J274">
        <v>0</v>
      </c>
      <c r="K274" t="str">
        <f>Tabela2[[#This Row],[Nome_Colaborador]]&amp;";"</f>
        <v>FLAVIUS CARLOS SANTOS DE SOUZA;</v>
      </c>
    </row>
    <row r="275" spans="1:11" hidden="1" x14ac:dyDescent="0.3">
      <c r="A275" s="18" t="s">
        <v>304</v>
      </c>
      <c r="B275" s="2">
        <v>0</v>
      </c>
      <c r="C275" s="2">
        <v>0</v>
      </c>
      <c r="D275" s="10" t="s">
        <v>356</v>
      </c>
      <c r="E275" t="str">
        <f>_xlfn.XLOOKUP(Tabela2[[#This Row],[Nome_Colaborador]],[1]Planilha1!$A:$A,[1]Planilha1!$B:$B,"")</f>
        <v>MARCOS</v>
      </c>
      <c r="F275" t="s">
        <v>86</v>
      </c>
      <c r="G27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5" t="s">
        <v>92</v>
      </c>
      <c r="J275">
        <v>0</v>
      </c>
      <c r="K275" t="str">
        <f>Tabela2[[#This Row],[Nome_Colaborador]]&amp;";"</f>
        <v>LUIZ FERNANDO LABHARDT;</v>
      </c>
    </row>
    <row r="276" spans="1:11" hidden="1" x14ac:dyDescent="0.3">
      <c r="A276" s="19" t="s">
        <v>305</v>
      </c>
      <c r="B276" s="2">
        <v>0</v>
      </c>
      <c r="C276" s="2">
        <v>0</v>
      </c>
      <c r="D276" s="10" t="s">
        <v>356</v>
      </c>
      <c r="E276" t="str">
        <f>_xlfn.XLOOKUP(Tabela2[[#This Row],[Nome_Colaborador]],[1]Planilha1!$A:$A,[1]Planilha1!$B:$B,"")</f>
        <v>MARCOS</v>
      </c>
      <c r="F276" t="s">
        <v>86</v>
      </c>
      <c r="G27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6" t="s">
        <v>92</v>
      </c>
      <c r="J276">
        <v>0</v>
      </c>
      <c r="K276" t="str">
        <f>Tabela2[[#This Row],[Nome_Colaborador]]&amp;";"</f>
        <v>LUCIANE DE CASTRO BRANDELIONE;</v>
      </c>
    </row>
    <row r="277" spans="1:11" hidden="1" x14ac:dyDescent="0.3">
      <c r="A277" s="19" t="s">
        <v>306</v>
      </c>
      <c r="B277" s="2">
        <v>0</v>
      </c>
      <c r="C277" s="2">
        <v>0</v>
      </c>
      <c r="D277" s="10" t="s">
        <v>356</v>
      </c>
      <c r="E277" t="str">
        <f>_xlfn.XLOOKUP(Tabela2[[#This Row],[Nome_Colaborador]],[1]Planilha1!$A:$A,[1]Planilha1!$B:$B,"")</f>
        <v>MARCOS</v>
      </c>
      <c r="F277" t="s">
        <v>86</v>
      </c>
      <c r="G27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7" t="s">
        <v>92</v>
      </c>
      <c r="J277">
        <v>0</v>
      </c>
      <c r="K277" t="str">
        <f>Tabela2[[#This Row],[Nome_Colaborador]]&amp;";"</f>
        <v>RENE DETIUK GOMES;</v>
      </c>
    </row>
    <row r="278" spans="1:11" hidden="1" x14ac:dyDescent="0.3">
      <c r="A278" s="18" t="s">
        <v>307</v>
      </c>
      <c r="B278" s="2">
        <v>0</v>
      </c>
      <c r="C278" s="2">
        <v>0</v>
      </c>
      <c r="D278" s="10" t="s">
        <v>356</v>
      </c>
      <c r="E278" t="str">
        <f>_xlfn.XLOOKUP(Tabela2[[#This Row],[Nome_Colaborador]],[1]Planilha1!$A:$A,[1]Planilha1!$B:$B,"")</f>
        <v>MARCOS</v>
      </c>
      <c r="F278" t="s">
        <v>86</v>
      </c>
      <c r="G27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8" t="s">
        <v>92</v>
      </c>
      <c r="J278">
        <v>0</v>
      </c>
      <c r="K278" t="str">
        <f>Tabela2[[#This Row],[Nome_Colaborador]]&amp;";"</f>
        <v>MIQUEIAS SILVA DE SOUZA;</v>
      </c>
    </row>
    <row r="279" spans="1:11" hidden="1" x14ac:dyDescent="0.3">
      <c r="A279" s="19" t="s">
        <v>308</v>
      </c>
      <c r="B279" s="2">
        <v>0</v>
      </c>
      <c r="C279" s="2">
        <v>0</v>
      </c>
      <c r="D279" s="10" t="s">
        <v>356</v>
      </c>
      <c r="E279" t="str">
        <f>_xlfn.XLOOKUP(Tabela2[[#This Row],[Nome_Colaborador]],[1]Planilha1!$A:$A,[1]Planilha1!$B:$B,"")</f>
        <v>MARCOS</v>
      </c>
      <c r="F279" t="s">
        <v>86</v>
      </c>
      <c r="G27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79" t="s">
        <v>92</v>
      </c>
      <c r="J279">
        <v>0</v>
      </c>
      <c r="K279" t="str">
        <f>Tabela2[[#This Row],[Nome_Colaborador]]&amp;";"</f>
        <v>FABRICIO FRANCISCO ANTUNES PEREIRA;</v>
      </c>
    </row>
    <row r="280" spans="1:11" hidden="1" x14ac:dyDescent="0.3">
      <c r="A280" s="19" t="s">
        <v>309</v>
      </c>
      <c r="B280" s="2">
        <v>0</v>
      </c>
      <c r="C280" s="2">
        <v>0</v>
      </c>
      <c r="D280" s="10" t="s">
        <v>356</v>
      </c>
      <c r="E280" t="str">
        <f>_xlfn.XLOOKUP(Tabela2[[#This Row],[Nome_Colaborador]],[1]Planilha1!$A:$A,[1]Planilha1!$B:$B,"")</f>
        <v>MARCOS</v>
      </c>
      <c r="F280" t="s">
        <v>86</v>
      </c>
      <c r="G28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0" t="s">
        <v>92</v>
      </c>
      <c r="J280">
        <v>0</v>
      </c>
      <c r="K280" t="str">
        <f>Tabela2[[#This Row],[Nome_Colaborador]]&amp;";"</f>
        <v>ANDREA DE CAMPOS ARAUJO;</v>
      </c>
    </row>
    <row r="281" spans="1:11" hidden="1" x14ac:dyDescent="0.3">
      <c r="A281" s="19" t="s">
        <v>310</v>
      </c>
      <c r="B281" s="2">
        <v>0</v>
      </c>
      <c r="C281" s="2">
        <v>0</v>
      </c>
      <c r="D281" s="10" t="s">
        <v>356</v>
      </c>
      <c r="E281" t="str">
        <f>_xlfn.XLOOKUP(Tabela2[[#This Row],[Nome_Colaborador]],[1]Planilha1!$A:$A,[1]Planilha1!$B:$B,"")</f>
        <v>MARCOS</v>
      </c>
      <c r="F281" t="s">
        <v>86</v>
      </c>
      <c r="G28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1" t="s">
        <v>92</v>
      </c>
      <c r="J281">
        <v>0</v>
      </c>
      <c r="K281" t="str">
        <f>Tabela2[[#This Row],[Nome_Colaborador]]&amp;";"</f>
        <v>LUANA BOLZE DRANKA;</v>
      </c>
    </row>
    <row r="282" spans="1:11" hidden="1" x14ac:dyDescent="0.3">
      <c r="A282" s="18" t="s">
        <v>311</v>
      </c>
      <c r="B282" s="2">
        <v>0</v>
      </c>
      <c r="C282" s="2">
        <v>0</v>
      </c>
      <c r="D282" s="10" t="s">
        <v>356</v>
      </c>
      <c r="E282" t="str">
        <f>_xlfn.XLOOKUP(Tabela2[[#This Row],[Nome_Colaborador]],[1]Planilha1!$A:$A,[1]Planilha1!$B:$B,"")</f>
        <v>MARCOS</v>
      </c>
      <c r="F282" t="s">
        <v>86</v>
      </c>
      <c r="G28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2" t="s">
        <v>92</v>
      </c>
      <c r="J282">
        <v>0</v>
      </c>
      <c r="K282" t="str">
        <f>Tabela2[[#This Row],[Nome_Colaborador]]&amp;";"</f>
        <v>ALINE GABRIELE VASCONCELLOS;</v>
      </c>
    </row>
    <row r="283" spans="1:11" hidden="1" x14ac:dyDescent="0.3">
      <c r="A283" s="18" t="s">
        <v>312</v>
      </c>
      <c r="B283" s="2">
        <v>0</v>
      </c>
      <c r="C283" s="2">
        <v>0</v>
      </c>
      <c r="D283" s="10" t="s">
        <v>356</v>
      </c>
      <c r="E283" t="str">
        <f>_xlfn.XLOOKUP(Tabela2[[#This Row],[Nome_Colaborador]],[1]Planilha1!$A:$A,[1]Planilha1!$B:$B,"")</f>
        <v>MARCOS</v>
      </c>
      <c r="F283" t="s">
        <v>86</v>
      </c>
      <c r="G28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3" t="s">
        <v>92</v>
      </c>
      <c r="J283">
        <v>0</v>
      </c>
      <c r="K283" t="str">
        <f>Tabela2[[#This Row],[Nome_Colaborador]]&amp;";"</f>
        <v>ANDERSON ROCHA DA SILVA;</v>
      </c>
    </row>
    <row r="284" spans="1:11" hidden="1" x14ac:dyDescent="0.3">
      <c r="A284" s="18" t="s">
        <v>313</v>
      </c>
      <c r="B284" s="2">
        <v>0</v>
      </c>
      <c r="C284" s="2">
        <v>0</v>
      </c>
      <c r="D284" s="10" t="s">
        <v>356</v>
      </c>
      <c r="E284" t="str">
        <f>_xlfn.XLOOKUP(Tabela2[[#This Row],[Nome_Colaborador]],[1]Planilha1!$A:$A,[1]Planilha1!$B:$B,"")</f>
        <v>MARCOS</v>
      </c>
      <c r="F284" t="s">
        <v>86</v>
      </c>
      <c r="G28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4" t="s">
        <v>92</v>
      </c>
      <c r="J284">
        <v>0</v>
      </c>
      <c r="K284" t="str">
        <f>Tabela2[[#This Row],[Nome_Colaborador]]&amp;";"</f>
        <v>MARCOS MATHEUS DE MUZIO;</v>
      </c>
    </row>
    <row r="285" spans="1:11" hidden="1" x14ac:dyDescent="0.3">
      <c r="A285" s="20" t="s">
        <v>314</v>
      </c>
      <c r="B285" s="2">
        <v>0</v>
      </c>
      <c r="C285" s="2">
        <v>0</v>
      </c>
      <c r="D285" s="10" t="s">
        <v>356</v>
      </c>
      <c r="E285" t="str">
        <f>_xlfn.XLOOKUP(Tabela2[[#This Row],[Nome_Colaborador]],[1]Planilha1!$A:$A,[1]Planilha1!$B:$B,"")</f>
        <v>MARCOS</v>
      </c>
      <c r="F285" t="s">
        <v>86</v>
      </c>
      <c r="G28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5" t="s">
        <v>92</v>
      </c>
      <c r="J285">
        <v>0</v>
      </c>
      <c r="K285" t="str">
        <f>Tabela2[[#This Row],[Nome_Colaborador]]&amp;";"</f>
        <v>ADEJAN COSTA;</v>
      </c>
    </row>
    <row r="286" spans="1:11" hidden="1" x14ac:dyDescent="0.3">
      <c r="A286" s="12" t="s">
        <v>315</v>
      </c>
      <c r="B286" s="2">
        <v>0</v>
      </c>
      <c r="C286" s="2">
        <v>0</v>
      </c>
      <c r="D286" s="10" t="s">
        <v>356</v>
      </c>
      <c r="E286" t="str">
        <f>_xlfn.XLOOKUP(Tabela2[[#This Row],[Nome_Colaborador]],[1]Planilha1!$A:$A,[1]Planilha1!$B:$B,"")</f>
        <v>MARCOS</v>
      </c>
      <c r="F286" t="s">
        <v>86</v>
      </c>
      <c r="G28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6" t="s">
        <v>92</v>
      </c>
      <c r="J286">
        <v>0</v>
      </c>
      <c r="K286" t="str">
        <f>Tabela2[[#This Row],[Nome_Colaborador]]&amp;";"</f>
        <v>MATHEUS DOS SANTOS MARQUES UEBELHART;</v>
      </c>
    </row>
    <row r="287" spans="1:11" hidden="1" x14ac:dyDescent="0.3">
      <c r="A287" s="12" t="s">
        <v>316</v>
      </c>
      <c r="B287" s="2">
        <v>0</v>
      </c>
      <c r="C287" s="2">
        <v>0</v>
      </c>
      <c r="D287" s="10" t="s">
        <v>356</v>
      </c>
      <c r="E287" t="str">
        <f>_xlfn.XLOOKUP(Tabela2[[#This Row],[Nome_Colaborador]],[1]Planilha1!$A:$A,[1]Planilha1!$B:$B,"")</f>
        <v>MARCOS</v>
      </c>
      <c r="F287" t="s">
        <v>86</v>
      </c>
      <c r="G28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7" t="s">
        <v>92</v>
      </c>
      <c r="J287">
        <v>0</v>
      </c>
      <c r="K287" t="str">
        <f>Tabela2[[#This Row],[Nome_Colaborador]]&amp;";"</f>
        <v>LOHAN GUILHERME DE CAMPOS;</v>
      </c>
    </row>
    <row r="288" spans="1:11" hidden="1" x14ac:dyDescent="0.3">
      <c r="A288" s="3" t="s">
        <v>317</v>
      </c>
      <c r="B288" s="2">
        <v>0</v>
      </c>
      <c r="C288" s="2">
        <v>0</v>
      </c>
      <c r="D288" s="10" t="s">
        <v>356</v>
      </c>
      <c r="E288" t="str">
        <f>_xlfn.XLOOKUP(Tabela2[[#This Row],[Nome_Colaborador]],[1]Planilha1!$A:$A,[1]Planilha1!$B:$B,"")</f>
        <v>MARCOS</v>
      </c>
      <c r="F288" t="s">
        <v>86</v>
      </c>
      <c r="G28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8" t="s">
        <v>92</v>
      </c>
      <c r="J288">
        <v>0</v>
      </c>
      <c r="K288" t="str">
        <f>Tabela2[[#This Row],[Nome_Colaborador]]&amp;";"</f>
        <v>ANE CAROLINE SOUZA;</v>
      </c>
    </row>
    <row r="289" spans="1:11" hidden="1" x14ac:dyDescent="0.3">
      <c r="A289" s="3" t="s">
        <v>318</v>
      </c>
      <c r="B289" s="2">
        <v>0</v>
      </c>
      <c r="C289" s="2">
        <v>0</v>
      </c>
      <c r="D289" s="10" t="s">
        <v>356</v>
      </c>
      <c r="E289" t="str">
        <f>_xlfn.XLOOKUP(Tabela2[[#This Row],[Nome_Colaborador]],[1]Planilha1!$A:$A,[1]Planilha1!$B:$B,"")</f>
        <v>MARCOS</v>
      </c>
      <c r="F289" t="s">
        <v>86</v>
      </c>
      <c r="G28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89" t="s">
        <v>92</v>
      </c>
      <c r="J289">
        <v>0</v>
      </c>
      <c r="K289" t="str">
        <f>Tabela2[[#This Row],[Nome_Colaborador]]&amp;";"</f>
        <v>ECHILEY SILVA;</v>
      </c>
    </row>
    <row r="290" spans="1:11" hidden="1" x14ac:dyDescent="0.3">
      <c r="A290" s="3" t="s">
        <v>319</v>
      </c>
      <c r="B290" s="2">
        <v>0</v>
      </c>
      <c r="C290" s="2">
        <v>0</v>
      </c>
      <c r="D290" s="10" t="s">
        <v>356</v>
      </c>
      <c r="E290" t="str">
        <f>_xlfn.XLOOKUP(Tabela2[[#This Row],[Nome_Colaborador]],[1]Planilha1!$A:$A,[1]Planilha1!$B:$B,"")</f>
        <v>MARCOS</v>
      </c>
      <c r="F290" t="s">
        <v>86</v>
      </c>
      <c r="G29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0" t="s">
        <v>92</v>
      </c>
      <c r="J290">
        <v>0</v>
      </c>
      <c r="K290" t="str">
        <f>Tabela2[[#This Row],[Nome_Colaborador]]&amp;";"</f>
        <v>Ana Cristina de Jesus;</v>
      </c>
    </row>
    <row r="291" spans="1:11" hidden="1" x14ac:dyDescent="0.3">
      <c r="A291" s="12" t="s">
        <v>320</v>
      </c>
      <c r="B291" s="2">
        <v>0</v>
      </c>
      <c r="C291" s="2">
        <v>0</v>
      </c>
      <c r="D291" s="10" t="s">
        <v>356</v>
      </c>
      <c r="E291" t="str">
        <f>_xlfn.XLOOKUP(Tabela2[[#This Row],[Nome_Colaborador]],[1]Planilha1!$A:$A,[1]Planilha1!$B:$B,"")</f>
        <v>MARCOS</v>
      </c>
      <c r="F291" t="s">
        <v>86</v>
      </c>
      <c r="G29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1" t="s">
        <v>92</v>
      </c>
      <c r="J291">
        <v>0</v>
      </c>
      <c r="K291" t="str">
        <f>Tabela2[[#This Row],[Nome_Colaborador]]&amp;";"</f>
        <v>TALITA CHAVES GARCIA;</v>
      </c>
    </row>
    <row r="292" spans="1:11" hidden="1" x14ac:dyDescent="0.3">
      <c r="A292" s="3" t="s">
        <v>321</v>
      </c>
      <c r="B292" s="2">
        <v>0</v>
      </c>
      <c r="C292" s="2">
        <v>0</v>
      </c>
      <c r="D292" s="10" t="s">
        <v>356</v>
      </c>
      <c r="E292" t="str">
        <f>_xlfn.XLOOKUP(Tabela2[[#This Row],[Nome_Colaborador]],[1]Planilha1!$A:$A,[1]Planilha1!$B:$B,"")</f>
        <v>MARCOS</v>
      </c>
      <c r="F292" t="s">
        <v>86</v>
      </c>
      <c r="G29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2" t="s">
        <v>92</v>
      </c>
      <c r="J292">
        <v>0</v>
      </c>
      <c r="K292" t="str">
        <f>Tabela2[[#This Row],[Nome_Colaborador]]&amp;";"</f>
        <v>LUCAS DE MOURA MESQUITA;</v>
      </c>
    </row>
    <row r="293" spans="1:11" hidden="1" x14ac:dyDescent="0.3">
      <c r="A293" s="17" t="s">
        <v>322</v>
      </c>
      <c r="B293" s="2">
        <v>0</v>
      </c>
      <c r="C293" s="2">
        <v>0</v>
      </c>
      <c r="D293" s="10" t="s">
        <v>356</v>
      </c>
      <c r="E293" t="str">
        <f>_xlfn.XLOOKUP(Tabela2[[#This Row],[Nome_Colaborador]],[1]Planilha1!$A:$A,[1]Planilha1!$B:$B,"")</f>
        <v>MARCOS</v>
      </c>
      <c r="F293" t="s">
        <v>86</v>
      </c>
      <c r="G29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3" t="s">
        <v>92</v>
      </c>
      <c r="J293">
        <v>0</v>
      </c>
      <c r="K293" t="str">
        <f>Tabela2[[#This Row],[Nome_Colaborador]]&amp;";"</f>
        <v>ARTHUR VILHENA E SILVA;</v>
      </c>
    </row>
    <row r="294" spans="1:11" hidden="1" x14ac:dyDescent="0.3">
      <c r="A294" s="17" t="s">
        <v>323</v>
      </c>
      <c r="B294" s="2">
        <v>0</v>
      </c>
      <c r="C294" s="2">
        <v>0</v>
      </c>
      <c r="D294" s="10" t="s">
        <v>356</v>
      </c>
      <c r="E294" t="str">
        <f>_xlfn.XLOOKUP(Tabela2[[#This Row],[Nome_Colaborador]],[1]Planilha1!$A:$A,[1]Planilha1!$B:$B,"")</f>
        <v>MARCOS</v>
      </c>
      <c r="F294" t="s">
        <v>86</v>
      </c>
      <c r="G29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4" t="s">
        <v>92</v>
      </c>
      <c r="J294">
        <v>0</v>
      </c>
      <c r="K294" t="str">
        <f>Tabela2[[#This Row],[Nome_Colaborador]]&amp;";"</f>
        <v>ARABELA ALVES DA SILVA;</v>
      </c>
    </row>
    <row r="295" spans="1:11" hidden="1" x14ac:dyDescent="0.3">
      <c r="A295" s="17" t="s">
        <v>324</v>
      </c>
      <c r="B295" s="2">
        <v>0</v>
      </c>
      <c r="C295" s="2">
        <v>0</v>
      </c>
      <c r="D295" s="10" t="s">
        <v>356</v>
      </c>
      <c r="E295" t="str">
        <f>_xlfn.XLOOKUP(Tabela2[[#This Row],[Nome_Colaborador]],[1]Planilha1!$A:$A,[1]Planilha1!$B:$B,"")</f>
        <v>MARCOS</v>
      </c>
      <c r="F295" t="s">
        <v>86</v>
      </c>
      <c r="G29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5" t="s">
        <v>92</v>
      </c>
      <c r="J295">
        <v>0</v>
      </c>
      <c r="K295" t="str">
        <f>Tabela2[[#This Row],[Nome_Colaborador]]&amp;";"</f>
        <v>YAN LEONARDI DE LIMA PREIS;</v>
      </c>
    </row>
    <row r="296" spans="1:11" hidden="1" x14ac:dyDescent="0.3">
      <c r="A296" s="12" t="s">
        <v>325</v>
      </c>
      <c r="B296" s="2">
        <v>0</v>
      </c>
      <c r="C296" s="2">
        <v>0</v>
      </c>
      <c r="D296" s="10" t="s">
        <v>356</v>
      </c>
      <c r="E296" t="str">
        <f>_xlfn.XLOOKUP(Tabela2[[#This Row],[Nome_Colaborador]],[1]Planilha1!$A:$A,[1]Planilha1!$B:$B,"")</f>
        <v>MARCOS</v>
      </c>
      <c r="F296" t="s">
        <v>86</v>
      </c>
      <c r="G29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6" t="s">
        <v>92</v>
      </c>
      <c r="J296">
        <v>0</v>
      </c>
      <c r="K296" t="str">
        <f>Tabela2[[#This Row],[Nome_Colaborador]]&amp;";"</f>
        <v>MELISSA NATALI PERES;</v>
      </c>
    </row>
    <row r="297" spans="1:11" hidden="1" x14ac:dyDescent="0.3">
      <c r="A297" s="3" t="s">
        <v>326</v>
      </c>
      <c r="B297" s="2">
        <v>0</v>
      </c>
      <c r="C297" s="2">
        <v>0</v>
      </c>
      <c r="D297" s="10" t="s">
        <v>356</v>
      </c>
      <c r="E297" t="str">
        <f>_xlfn.XLOOKUP(Tabela2[[#This Row],[Nome_Colaborador]],[1]Planilha1!$A:$A,[1]Planilha1!$B:$B,"")</f>
        <v>MARCOS</v>
      </c>
      <c r="F297" t="s">
        <v>86</v>
      </c>
      <c r="G29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7" t="s">
        <v>92</v>
      </c>
      <c r="J297">
        <v>0</v>
      </c>
      <c r="K297" t="str">
        <f>Tabela2[[#This Row],[Nome_Colaborador]]&amp;";"</f>
        <v>ALINE OLIVEIRA RAMOS;</v>
      </c>
    </row>
    <row r="298" spans="1:11" hidden="1" x14ac:dyDescent="0.3">
      <c r="A298" s="16" t="s">
        <v>327</v>
      </c>
      <c r="B298" s="2">
        <v>0</v>
      </c>
      <c r="C298" s="2">
        <v>0</v>
      </c>
      <c r="D298" s="10" t="s">
        <v>356</v>
      </c>
      <c r="E298" t="str">
        <f>_xlfn.XLOOKUP(Tabela2[[#This Row],[Nome_Colaborador]],[1]Planilha1!$A:$A,[1]Planilha1!$B:$B,"")</f>
        <v>MARCOS</v>
      </c>
      <c r="F298" t="s">
        <v>86</v>
      </c>
      <c r="G29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8" t="s">
        <v>92</v>
      </c>
      <c r="J298">
        <v>0</v>
      </c>
      <c r="K298" t="str">
        <f>Tabela2[[#This Row],[Nome_Colaborador]]&amp;";"</f>
        <v>DOUGLAS CORREA ROSS;</v>
      </c>
    </row>
    <row r="299" spans="1:11" hidden="1" x14ac:dyDescent="0.3">
      <c r="A299" s="12" t="s">
        <v>328</v>
      </c>
      <c r="B299" s="2">
        <v>0</v>
      </c>
      <c r="C299" s="2">
        <v>0</v>
      </c>
      <c r="D299" s="10" t="s">
        <v>356</v>
      </c>
      <c r="E299" t="str">
        <f>_xlfn.XLOOKUP(Tabela2[[#This Row],[Nome_Colaborador]],[1]Planilha1!$A:$A,[1]Planilha1!$B:$B,"")</f>
        <v>MARCOS</v>
      </c>
      <c r="F299" t="s">
        <v>86</v>
      </c>
      <c r="G29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299" t="s">
        <v>92</v>
      </c>
      <c r="J299">
        <v>0</v>
      </c>
      <c r="K299" t="str">
        <f>Tabela2[[#This Row],[Nome_Colaborador]]&amp;";"</f>
        <v>CARLA ANTONIA JORGE SOBIESKI;</v>
      </c>
    </row>
    <row r="300" spans="1:11" hidden="1" x14ac:dyDescent="0.3">
      <c r="A300" s="12" t="s">
        <v>329</v>
      </c>
      <c r="B300" s="2">
        <v>0</v>
      </c>
      <c r="C300" s="2">
        <v>0</v>
      </c>
      <c r="D300" s="10" t="s">
        <v>356</v>
      </c>
      <c r="E300" t="str">
        <f>_xlfn.XLOOKUP(Tabela2[[#This Row],[Nome_Colaborador]],[1]Planilha1!$A:$A,[1]Planilha1!$B:$B,"")</f>
        <v>MARCOS</v>
      </c>
      <c r="F300" t="s">
        <v>86</v>
      </c>
      <c r="G30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0" t="s">
        <v>92</v>
      </c>
      <c r="J300">
        <v>0</v>
      </c>
      <c r="K300" t="str">
        <f>Tabela2[[#This Row],[Nome_Colaborador]]&amp;";"</f>
        <v>MATHEUS SARAIVA RIBEIRO;</v>
      </c>
    </row>
    <row r="301" spans="1:11" hidden="1" x14ac:dyDescent="0.3">
      <c r="A301" s="12" t="s">
        <v>330</v>
      </c>
      <c r="B301" s="2">
        <v>0</v>
      </c>
      <c r="C301" s="2">
        <v>0</v>
      </c>
      <c r="D301" s="10" t="s">
        <v>356</v>
      </c>
      <c r="E301" t="str">
        <f>_xlfn.XLOOKUP(Tabela2[[#This Row],[Nome_Colaborador]],[1]Planilha1!$A:$A,[1]Planilha1!$B:$B,"")</f>
        <v>MARCOS</v>
      </c>
      <c r="F301" t="s">
        <v>86</v>
      </c>
      <c r="G30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1" t="s">
        <v>92</v>
      </c>
      <c r="J301">
        <v>0</v>
      </c>
      <c r="K301" t="str">
        <f>Tabela2[[#This Row],[Nome_Colaborador]]&amp;";"</f>
        <v>KATIA REGINA DE LIMA LOPES;</v>
      </c>
    </row>
    <row r="302" spans="1:11" hidden="1" x14ac:dyDescent="0.3">
      <c r="A302" s="12" t="s">
        <v>331</v>
      </c>
      <c r="B302" s="2">
        <v>0</v>
      </c>
      <c r="C302" s="2">
        <v>0</v>
      </c>
      <c r="D302" s="10" t="s">
        <v>356</v>
      </c>
      <c r="E302" t="str">
        <f>_xlfn.XLOOKUP(Tabela2[[#This Row],[Nome_Colaborador]],[1]Planilha1!$A:$A,[1]Planilha1!$B:$B,"")</f>
        <v>MARCOS</v>
      </c>
      <c r="F302" t="s">
        <v>86</v>
      </c>
      <c r="G30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2" t="s">
        <v>92</v>
      </c>
      <c r="J302">
        <v>0</v>
      </c>
      <c r="K302" t="str">
        <f>Tabela2[[#This Row],[Nome_Colaborador]]&amp;";"</f>
        <v>TIAGO CLEITON DOS SANTOS;</v>
      </c>
    </row>
    <row r="303" spans="1:11" hidden="1" x14ac:dyDescent="0.3">
      <c r="A303" s="3" t="s">
        <v>332</v>
      </c>
      <c r="B303" s="2">
        <v>0</v>
      </c>
      <c r="C303" s="2">
        <v>0</v>
      </c>
      <c r="D303" s="10" t="s">
        <v>356</v>
      </c>
      <c r="E303" t="str">
        <f>_xlfn.XLOOKUP(Tabela2[[#This Row],[Nome_Colaborador]],[1]Planilha1!$A:$A,[1]Planilha1!$B:$B,"")</f>
        <v>MARCOS</v>
      </c>
      <c r="F303" t="s">
        <v>86</v>
      </c>
      <c r="G30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3" t="s">
        <v>92</v>
      </c>
      <c r="J303">
        <v>0</v>
      </c>
      <c r="K303" t="str">
        <f>Tabela2[[#This Row],[Nome_Colaborador]]&amp;";"</f>
        <v>EDUARDO FELIPE DA SILVA LOURENCO;</v>
      </c>
    </row>
    <row r="304" spans="1:11" hidden="1" x14ac:dyDescent="0.3">
      <c r="A304" s="12" t="s">
        <v>333</v>
      </c>
      <c r="B304" s="2">
        <v>0</v>
      </c>
      <c r="C304" s="2">
        <v>0</v>
      </c>
      <c r="D304" s="10" t="s">
        <v>356</v>
      </c>
      <c r="E304" t="str">
        <f>_xlfn.XLOOKUP(Tabela2[[#This Row],[Nome_Colaborador]],[1]Planilha1!$A:$A,[1]Planilha1!$B:$B,"")</f>
        <v>MARCOS</v>
      </c>
      <c r="F304" t="s">
        <v>86</v>
      </c>
      <c r="G30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4" t="s">
        <v>92</v>
      </c>
      <c r="J304">
        <v>0</v>
      </c>
      <c r="K304" t="str">
        <f>Tabela2[[#This Row],[Nome_Colaborador]]&amp;";"</f>
        <v>ANGELA LAYNS KALLUF DA SILVA;</v>
      </c>
    </row>
    <row r="305" spans="1:11" hidden="1" x14ac:dyDescent="0.3">
      <c r="A305" s="12" t="s">
        <v>334</v>
      </c>
      <c r="B305" s="2">
        <v>0</v>
      </c>
      <c r="C305" s="2">
        <v>0</v>
      </c>
      <c r="D305" s="10" t="s">
        <v>356</v>
      </c>
      <c r="E305" t="str">
        <f>_xlfn.XLOOKUP(Tabela2[[#This Row],[Nome_Colaborador]],[1]Planilha1!$A:$A,[1]Planilha1!$B:$B,"")</f>
        <v>MARCOS</v>
      </c>
      <c r="F305" t="s">
        <v>86</v>
      </c>
      <c r="G30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5" t="s">
        <v>92</v>
      </c>
      <c r="J305">
        <v>0</v>
      </c>
      <c r="K305" t="str">
        <f>Tabela2[[#This Row],[Nome_Colaborador]]&amp;";"</f>
        <v>KATIA LUCIA SIQUEIRA;</v>
      </c>
    </row>
    <row r="306" spans="1:11" hidden="1" x14ac:dyDescent="0.3">
      <c r="A306" s="12" t="s">
        <v>335</v>
      </c>
      <c r="B306" s="2">
        <v>0</v>
      </c>
      <c r="C306" s="2">
        <v>0</v>
      </c>
      <c r="D306" s="10" t="s">
        <v>356</v>
      </c>
      <c r="E306" t="str">
        <f>_xlfn.XLOOKUP(Tabela2[[#This Row],[Nome_Colaborador]],[1]Planilha1!$A:$A,[1]Planilha1!$B:$B,"")</f>
        <v>MARCOS</v>
      </c>
      <c r="F306" t="s">
        <v>86</v>
      </c>
      <c r="G30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6" t="s">
        <v>92</v>
      </c>
      <c r="J306">
        <v>0</v>
      </c>
      <c r="K306" t="str">
        <f>Tabela2[[#This Row],[Nome_Colaborador]]&amp;";"</f>
        <v>GABRIELY DE SOUZA BARBOSA;</v>
      </c>
    </row>
    <row r="307" spans="1:11" hidden="1" x14ac:dyDescent="0.3">
      <c r="A307" s="12" t="s">
        <v>336</v>
      </c>
      <c r="B307" s="2">
        <v>0</v>
      </c>
      <c r="C307" s="2">
        <v>0</v>
      </c>
      <c r="D307" s="10" t="s">
        <v>356</v>
      </c>
      <c r="E307" t="str">
        <f>_xlfn.XLOOKUP(Tabela2[[#This Row],[Nome_Colaborador]],[1]Planilha1!$A:$A,[1]Planilha1!$B:$B,"")</f>
        <v>MARCOS</v>
      </c>
      <c r="F307" t="s">
        <v>86</v>
      </c>
      <c r="G30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7" t="s">
        <v>92</v>
      </c>
      <c r="J307">
        <v>0</v>
      </c>
      <c r="K307" t="str">
        <f>Tabela2[[#This Row],[Nome_Colaborador]]&amp;";"</f>
        <v>AMANDA GABRIELLE ALMEIDA DE CAMARGO;</v>
      </c>
    </row>
    <row r="308" spans="1:11" hidden="1" x14ac:dyDescent="0.3">
      <c r="A308" s="12" t="s">
        <v>337</v>
      </c>
      <c r="B308" s="2">
        <v>0</v>
      </c>
      <c r="C308" s="2">
        <v>0</v>
      </c>
      <c r="D308" s="10" t="s">
        <v>356</v>
      </c>
      <c r="E308" t="str">
        <f>_xlfn.XLOOKUP(Tabela2[[#This Row],[Nome_Colaborador]],[1]Planilha1!$A:$A,[1]Planilha1!$B:$B,"")</f>
        <v>MARCOS</v>
      </c>
      <c r="F308" t="s">
        <v>86</v>
      </c>
      <c r="G30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8" t="s">
        <v>92</v>
      </c>
      <c r="J308">
        <v>0</v>
      </c>
      <c r="K308" t="str">
        <f>Tabela2[[#This Row],[Nome_Colaborador]]&amp;";"</f>
        <v>LEONARDO AUGUSTO EDART;</v>
      </c>
    </row>
    <row r="309" spans="1:11" hidden="1" x14ac:dyDescent="0.3">
      <c r="A309" s="12" t="s">
        <v>338</v>
      </c>
      <c r="B309" s="2">
        <v>0</v>
      </c>
      <c r="C309" s="2">
        <v>0</v>
      </c>
      <c r="D309" s="10" t="s">
        <v>356</v>
      </c>
      <c r="E309" t="str">
        <f>_xlfn.XLOOKUP(Tabela2[[#This Row],[Nome_Colaborador]],[1]Planilha1!$A:$A,[1]Planilha1!$B:$B,"")</f>
        <v>MARCOS</v>
      </c>
      <c r="F309" t="s">
        <v>86</v>
      </c>
      <c r="G30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09" t="s">
        <v>92</v>
      </c>
      <c r="J309">
        <v>0</v>
      </c>
      <c r="K309" t="str">
        <f>Tabela2[[#This Row],[Nome_Colaborador]]&amp;";"</f>
        <v>HILDEGA HIBNER;</v>
      </c>
    </row>
    <row r="310" spans="1:11" hidden="1" x14ac:dyDescent="0.3">
      <c r="A310" s="12" t="s">
        <v>339</v>
      </c>
      <c r="B310" s="2">
        <v>0</v>
      </c>
      <c r="C310" s="2">
        <v>0</v>
      </c>
      <c r="D310" s="10" t="s">
        <v>356</v>
      </c>
      <c r="E310" t="str">
        <f>_xlfn.XLOOKUP(Tabela2[[#This Row],[Nome_Colaborador]],[1]Planilha1!$A:$A,[1]Planilha1!$B:$B,"")</f>
        <v>MARCOS</v>
      </c>
      <c r="F310" t="s">
        <v>86</v>
      </c>
      <c r="G31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0" t="s">
        <v>92</v>
      </c>
      <c r="J310">
        <v>0</v>
      </c>
      <c r="K310" t="str">
        <f>Tabela2[[#This Row],[Nome_Colaborador]]&amp;";"</f>
        <v>PEDRO MANOEL LOPES MENDONCA;</v>
      </c>
    </row>
    <row r="311" spans="1:11" hidden="1" x14ac:dyDescent="0.3">
      <c r="A311" s="12" t="s">
        <v>340</v>
      </c>
      <c r="B311" s="2">
        <v>0</v>
      </c>
      <c r="C311" s="2">
        <v>0</v>
      </c>
      <c r="D311" s="10" t="s">
        <v>356</v>
      </c>
      <c r="E311" t="str">
        <f>_xlfn.XLOOKUP(Tabela2[[#This Row],[Nome_Colaborador]],[1]Planilha1!$A:$A,[1]Planilha1!$B:$B,"")</f>
        <v>MARCOS</v>
      </c>
      <c r="F311" t="s">
        <v>86</v>
      </c>
      <c r="G31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1" t="s">
        <v>92</v>
      </c>
      <c r="J311">
        <v>0</v>
      </c>
      <c r="K311" t="str">
        <f>Tabela2[[#This Row],[Nome_Colaborador]]&amp;";"</f>
        <v>NATALY ADRIANA DA SILVA;</v>
      </c>
    </row>
    <row r="312" spans="1:11" hidden="1" x14ac:dyDescent="0.3">
      <c r="A312" s="12" t="s">
        <v>341</v>
      </c>
      <c r="B312" s="2">
        <v>0</v>
      </c>
      <c r="C312" s="2">
        <v>0</v>
      </c>
      <c r="D312" s="10" t="s">
        <v>356</v>
      </c>
      <c r="E312" t="str">
        <f>_xlfn.XLOOKUP(Tabela2[[#This Row],[Nome_Colaborador]],[1]Planilha1!$A:$A,[1]Planilha1!$B:$B,"")</f>
        <v>MARCOS</v>
      </c>
      <c r="F312" t="s">
        <v>86</v>
      </c>
      <c r="G31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2" t="s">
        <v>92</v>
      </c>
      <c r="J312">
        <v>0</v>
      </c>
      <c r="K312" t="str">
        <f>Tabela2[[#This Row],[Nome_Colaborador]]&amp;";"</f>
        <v>LUANA CRISTINA DA SILVA;</v>
      </c>
    </row>
    <row r="313" spans="1:11" hidden="1" x14ac:dyDescent="0.3">
      <c r="A313" s="12" t="s">
        <v>342</v>
      </c>
      <c r="B313" s="2">
        <v>0</v>
      </c>
      <c r="C313" s="2">
        <v>0</v>
      </c>
      <c r="D313" s="10" t="s">
        <v>356</v>
      </c>
      <c r="E313" t="str">
        <f>_xlfn.XLOOKUP(Tabela2[[#This Row],[Nome_Colaborador]],[1]Planilha1!$A:$A,[1]Planilha1!$B:$B,"")</f>
        <v>MARCOS</v>
      </c>
      <c r="F313" t="s">
        <v>86</v>
      </c>
      <c r="G31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3" t="s">
        <v>92</v>
      </c>
      <c r="J313">
        <v>0</v>
      </c>
      <c r="K313" t="str">
        <f>Tabela2[[#This Row],[Nome_Colaborador]]&amp;";"</f>
        <v>VIVIAN MAUTA DA SILVA;</v>
      </c>
    </row>
    <row r="314" spans="1:11" hidden="1" x14ac:dyDescent="0.3">
      <c r="A314" s="3" t="s">
        <v>343</v>
      </c>
      <c r="B314" s="2">
        <v>0</v>
      </c>
      <c r="C314" s="2">
        <v>0</v>
      </c>
      <c r="D314" s="10" t="s">
        <v>356</v>
      </c>
      <c r="E314" t="str">
        <f>_xlfn.XLOOKUP(Tabela2[[#This Row],[Nome_Colaborador]],[1]Planilha1!$A:$A,[1]Planilha1!$B:$B,"")</f>
        <v>MARCOS</v>
      </c>
      <c r="F314" t="s">
        <v>86</v>
      </c>
      <c r="G31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4" t="s">
        <v>92</v>
      </c>
      <c r="J314">
        <v>0</v>
      </c>
      <c r="K314" t="str">
        <f>Tabela2[[#This Row],[Nome_Colaborador]]&amp;";"</f>
        <v>CLAYTON MIRANDA BATISTA;</v>
      </c>
    </row>
    <row r="315" spans="1:11" hidden="1" x14ac:dyDescent="0.3">
      <c r="A315" s="3" t="s">
        <v>344</v>
      </c>
      <c r="B315" s="2">
        <v>0</v>
      </c>
      <c r="C315" s="2">
        <v>0</v>
      </c>
      <c r="D315" s="10" t="s">
        <v>356</v>
      </c>
      <c r="E315" t="str">
        <f>_xlfn.XLOOKUP(Tabela2[[#This Row],[Nome_Colaborador]],[1]Planilha1!$A:$A,[1]Planilha1!$B:$B,"")</f>
        <v>MARCOS</v>
      </c>
      <c r="F315" t="s">
        <v>86</v>
      </c>
      <c r="G31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5" t="s">
        <v>92</v>
      </c>
      <c r="J315">
        <v>0</v>
      </c>
      <c r="K315" t="str">
        <f>Tabela2[[#This Row],[Nome_Colaborador]]&amp;";"</f>
        <v>KETHLYN MARIA MACHADO HALABURA;</v>
      </c>
    </row>
    <row r="316" spans="1:11" hidden="1" x14ac:dyDescent="0.3">
      <c r="A316" s="12" t="s">
        <v>345</v>
      </c>
      <c r="B316" s="2">
        <v>0</v>
      </c>
      <c r="C316" s="2">
        <v>0</v>
      </c>
      <c r="D316" s="10" t="s">
        <v>356</v>
      </c>
      <c r="E316" t="str">
        <f>_xlfn.XLOOKUP(Tabela2[[#This Row],[Nome_Colaborador]],[1]Planilha1!$A:$A,[1]Planilha1!$B:$B,"")</f>
        <v>MARCOS</v>
      </c>
      <c r="F316" t="s">
        <v>86</v>
      </c>
      <c r="G31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6" t="s">
        <v>92</v>
      </c>
      <c r="J316">
        <v>0</v>
      </c>
      <c r="K316" t="str">
        <f>Tabela2[[#This Row],[Nome_Colaborador]]&amp;";"</f>
        <v>RODRIGO PINHEIRO BERTO;</v>
      </c>
    </row>
    <row r="317" spans="1:11" hidden="1" x14ac:dyDescent="0.3">
      <c r="A317" s="3" t="s">
        <v>346</v>
      </c>
      <c r="B317" s="2">
        <v>0</v>
      </c>
      <c r="C317" s="2">
        <v>0</v>
      </c>
      <c r="D317" s="10" t="s">
        <v>356</v>
      </c>
      <c r="E317" t="str">
        <f>_xlfn.XLOOKUP(Tabela2[[#This Row],[Nome_Colaborador]],[1]Planilha1!$A:$A,[1]Planilha1!$B:$B,"")</f>
        <v>MARCOS</v>
      </c>
      <c r="F317" t="s">
        <v>86</v>
      </c>
      <c r="G31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7" t="s">
        <v>92</v>
      </c>
      <c r="J317">
        <v>0</v>
      </c>
      <c r="K317" t="str">
        <f>Tabela2[[#This Row],[Nome_Colaborador]]&amp;";"</f>
        <v>CARLA JANAINA DE SOUZA;</v>
      </c>
    </row>
    <row r="318" spans="1:11" hidden="1" x14ac:dyDescent="0.3">
      <c r="A318" s="12" t="s">
        <v>347</v>
      </c>
      <c r="B318" s="2">
        <v>0</v>
      </c>
      <c r="C318" s="2">
        <v>0</v>
      </c>
      <c r="D318" s="10" t="s">
        <v>356</v>
      </c>
      <c r="E318" t="str">
        <f>_xlfn.XLOOKUP(Tabela2[[#This Row],[Nome_Colaborador]],[1]Planilha1!$A:$A,[1]Planilha1!$B:$B,"")</f>
        <v>MARCOS</v>
      </c>
      <c r="F318" t="s">
        <v>86</v>
      </c>
      <c r="G318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8" t="s">
        <v>92</v>
      </c>
      <c r="J318">
        <v>0</v>
      </c>
      <c r="K318" t="str">
        <f>Tabela2[[#This Row],[Nome_Colaborador]]&amp;";"</f>
        <v>LEONARDO VICTOR NEPPEL;</v>
      </c>
    </row>
    <row r="319" spans="1:11" hidden="1" x14ac:dyDescent="0.3">
      <c r="A319" s="3" t="s">
        <v>348</v>
      </c>
      <c r="B319" s="2">
        <v>0</v>
      </c>
      <c r="C319" s="2">
        <v>0</v>
      </c>
      <c r="D319" s="10" t="s">
        <v>356</v>
      </c>
      <c r="E319" t="str">
        <f>_xlfn.XLOOKUP(Tabela2[[#This Row],[Nome_Colaborador]],[1]Planilha1!$A:$A,[1]Planilha1!$B:$B,"")</f>
        <v>MARCOS</v>
      </c>
      <c r="F319" t="s">
        <v>86</v>
      </c>
      <c r="G319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19" t="s">
        <v>92</v>
      </c>
      <c r="J319">
        <v>0</v>
      </c>
      <c r="K319" t="str">
        <f>Tabela2[[#This Row],[Nome_Colaborador]]&amp;";"</f>
        <v>JULIETE CAETANO DE LIMA DOS SANTOS;</v>
      </c>
    </row>
    <row r="320" spans="1:11" hidden="1" x14ac:dyDescent="0.3">
      <c r="A320" s="12" t="s">
        <v>349</v>
      </c>
      <c r="B320" s="2">
        <v>0</v>
      </c>
      <c r="C320" s="2">
        <v>0</v>
      </c>
      <c r="D320" s="10" t="s">
        <v>356</v>
      </c>
      <c r="E320" t="str">
        <f>_xlfn.XLOOKUP(Tabela2[[#This Row],[Nome_Colaborador]],[1]Planilha1!$A:$A,[1]Planilha1!$B:$B,"")</f>
        <v>MARCOS</v>
      </c>
      <c r="F320" t="s">
        <v>86</v>
      </c>
      <c r="G320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20" t="s">
        <v>92</v>
      </c>
      <c r="J320">
        <v>0</v>
      </c>
      <c r="K320" t="str">
        <f>Tabela2[[#This Row],[Nome_Colaborador]]&amp;";"</f>
        <v>WESLEY XAVIER DO NASCIMENTO;</v>
      </c>
    </row>
    <row r="321" spans="1:11" hidden="1" x14ac:dyDescent="0.3">
      <c r="A321" s="12" t="s">
        <v>350</v>
      </c>
      <c r="B321" s="2">
        <v>0</v>
      </c>
      <c r="C321" s="2">
        <v>0</v>
      </c>
      <c r="D321" s="10" t="s">
        <v>356</v>
      </c>
      <c r="E321" t="str">
        <f>_xlfn.XLOOKUP(Tabela2[[#This Row],[Nome_Colaborador]],[1]Planilha1!$A:$A,[1]Planilha1!$B:$B,"")</f>
        <v>MARCOS</v>
      </c>
      <c r="F321" t="s">
        <v>86</v>
      </c>
      <c r="G321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21" t="s">
        <v>92</v>
      </c>
      <c r="J321">
        <v>0</v>
      </c>
      <c r="K321" t="str">
        <f>Tabela2[[#This Row],[Nome_Colaborador]]&amp;";"</f>
        <v>NICOLE MILENA DOS SANTOS TAVARES;</v>
      </c>
    </row>
    <row r="322" spans="1:11" hidden="1" x14ac:dyDescent="0.3">
      <c r="A322" s="16" t="s">
        <v>351</v>
      </c>
      <c r="B322" s="2">
        <v>0</v>
      </c>
      <c r="C322" s="2">
        <v>0</v>
      </c>
      <c r="D322" s="10" t="s">
        <v>356</v>
      </c>
      <c r="E322" t="str">
        <f>_xlfn.XLOOKUP(Tabela2[[#This Row],[Nome_Colaborador]],[1]Planilha1!$A:$A,[1]Planilha1!$B:$B,"")</f>
        <v>MARCOS</v>
      </c>
      <c r="F322" t="s">
        <v>86</v>
      </c>
      <c r="G322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22" t="s">
        <v>92</v>
      </c>
      <c r="J322">
        <v>0</v>
      </c>
      <c r="K322" t="str">
        <f>Tabela2[[#This Row],[Nome_Colaborador]]&amp;";"</f>
        <v>DARKYLA MARRIE TRICOSSI;</v>
      </c>
    </row>
    <row r="323" spans="1:11" hidden="1" x14ac:dyDescent="0.3">
      <c r="A323" s="3" t="s">
        <v>352</v>
      </c>
      <c r="B323" s="2">
        <v>0</v>
      </c>
      <c r="C323" s="2">
        <v>0</v>
      </c>
      <c r="D323" s="10" t="s">
        <v>356</v>
      </c>
      <c r="E323" t="str">
        <f>_xlfn.XLOOKUP(Tabela2[[#This Row],[Nome_Colaborador]],[1]Planilha1!$A:$A,[1]Planilha1!$B:$B,"")</f>
        <v>MARCOS</v>
      </c>
      <c r="F323" t="s">
        <v>86</v>
      </c>
      <c r="G323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23" t="s">
        <v>92</v>
      </c>
      <c r="J323">
        <v>0</v>
      </c>
      <c r="K323" t="str">
        <f>Tabela2[[#This Row],[Nome_Colaborador]]&amp;";"</f>
        <v>EDUARDO SCHMIDERKAL DE ALMEIDA JORGE;</v>
      </c>
    </row>
    <row r="324" spans="1:11" hidden="1" x14ac:dyDescent="0.3">
      <c r="A324" s="12" t="s">
        <v>345</v>
      </c>
      <c r="B324" s="2">
        <v>0</v>
      </c>
      <c r="C324" s="2">
        <v>0</v>
      </c>
      <c r="D324" s="10" t="s">
        <v>356</v>
      </c>
      <c r="E324" t="str">
        <f>_xlfn.XLOOKUP(Tabela2[[#This Row],[Nome_Colaborador]],[1]Planilha1!$A:$A,[1]Planilha1!$B:$B,"")</f>
        <v>MARCOS</v>
      </c>
      <c r="F324" t="s">
        <v>86</v>
      </c>
      <c r="G324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24" t="s">
        <v>92</v>
      </c>
      <c r="J324">
        <v>0</v>
      </c>
      <c r="K324" t="str">
        <f>Tabela2[[#This Row],[Nome_Colaborador]]&amp;";"</f>
        <v>RODRIGO PINHEIRO BERTO;</v>
      </c>
    </row>
    <row r="325" spans="1:11" hidden="1" x14ac:dyDescent="0.3">
      <c r="A325" s="12" t="s">
        <v>353</v>
      </c>
      <c r="B325" s="2">
        <v>0</v>
      </c>
      <c r="C325" s="2">
        <v>0</v>
      </c>
      <c r="D325" s="10" t="s">
        <v>356</v>
      </c>
      <c r="E325" t="str">
        <f>_xlfn.XLOOKUP(Tabela2[[#This Row],[Nome_Colaborador]],[1]Planilha1!$A:$A,[1]Planilha1!$B:$B,"")</f>
        <v>MARCOS</v>
      </c>
      <c r="F325" t="s">
        <v>86</v>
      </c>
      <c r="G325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25" t="s">
        <v>92</v>
      </c>
      <c r="J325">
        <v>0</v>
      </c>
      <c r="K325" t="str">
        <f>Tabela2[[#This Row],[Nome_Colaborador]]&amp;";"</f>
        <v>DIOGO BRITTO DO NASCIMENTO;</v>
      </c>
    </row>
    <row r="326" spans="1:11" hidden="1" x14ac:dyDescent="0.3">
      <c r="A326" s="12" t="s">
        <v>354</v>
      </c>
      <c r="B326" s="2">
        <v>0</v>
      </c>
      <c r="C326" s="2">
        <v>0</v>
      </c>
      <c r="D326" s="10" t="s">
        <v>356</v>
      </c>
      <c r="E326" t="str">
        <f>_xlfn.XLOOKUP(Tabela2[[#This Row],[Nome_Colaborador]],[1]Planilha1!$A:$A,[1]Planilha1!$B:$B,"")</f>
        <v>MARCOS</v>
      </c>
      <c r="F326" t="s">
        <v>86</v>
      </c>
      <c r="G326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26" t="s">
        <v>92</v>
      </c>
      <c r="J326">
        <v>0</v>
      </c>
      <c r="K326" t="str">
        <f>Tabela2[[#This Row],[Nome_Colaborador]]&amp;";"</f>
        <v>LUCIANA NICOLOSI RODRIGUES;</v>
      </c>
    </row>
    <row r="327" spans="1:11" hidden="1" x14ac:dyDescent="0.3">
      <c r="A327" s="13" t="s">
        <v>355</v>
      </c>
      <c r="B327" s="2">
        <v>0</v>
      </c>
      <c r="C327" s="2">
        <v>0</v>
      </c>
      <c r="D327" s="10" t="s">
        <v>356</v>
      </c>
      <c r="E327" t="str">
        <f>_xlfn.XLOOKUP(Tabela2[[#This Row],[Nome_Colaborador]],[1]Planilha1!$A:$A,[1]Planilha1!$B:$B,"")</f>
        <v>MARCOS</v>
      </c>
      <c r="F327" t="s">
        <v>86</v>
      </c>
      <c r="G327" t="str">
        <f>_xlfn.XLOOKUP(Tabela2[[#This Row],[Nome_Colaborador]],'ADOILSON LIMA DO NASCIMENTO'!B:B,'ADOILSON LIMA DO NASCIMENTO'!C:C,_xlfn.XLOOKUP(Tabela2[[#This Row],[Nome_Colaborador]],'ANGELYCA FRANÇA DE OLIVEIRA'!B:B,'ANGELYCA FRANÇA DE OLIVEIRA'!C:C,_xlfn.XLOOKUP(Tabela2[[#This Row],[Nome_Colaborador]],'ERICE RENATO NAVARROS OPIMI'!B:B,'ERICE RENATO NAVARROS OPIMI'!C:C,_xlfn.XLOOKUP(Tabela2[[#This Row],[Nome_Colaborador]],'GENILSON FELICIO'!B:B,'GENILSON FELICIO'!C:C,_xlfn.XLOOKUP(Tabela2[[#This Row],[Nome_Colaborador]],'GUSTAVO LAGO DO NASCIMENTO'!B:B,'GUSTAVO LAGO DO NASCIMENTO'!C:C,_xlfn.XLOOKUP(Tabela2[[#This Row],[Nome_Colaborador]],'SABRINA RIBEIRO DIAS'!B:B,'SABRINA RIBEIRO DIAS'!C:C,_xlfn.XLOOKUP(Tabela2[[#This Row],[Nome_Colaborador]],'AMANDA - DIEGO - TELE'!B:B,'AMANDA - DIEGO - TELE'!C:C,_xlfn.XLOOKUP(Tabela2[[#This Row],[Nome_Colaborador]],MARCOS!B:B,MARCOS!C:C,""))))))))</f>
        <v>INATIVOS</v>
      </c>
      <c r="I327" t="s">
        <v>92</v>
      </c>
      <c r="J327">
        <v>0</v>
      </c>
      <c r="K327" t="str">
        <f>Tabela2[[#This Row],[Nome_Colaborador]]&amp;";"</f>
        <v>CARLOS ALBERTO TORTATO PEDROSO;</v>
      </c>
    </row>
  </sheetData>
  <conditionalFormatting sqref="A1:A327">
    <cfRule type="duplicateValues" dxfId="128" priority="25"/>
  </conditionalFormatting>
  <conditionalFormatting sqref="A1:A1048576">
    <cfRule type="duplicateValues" dxfId="127" priority="1"/>
  </conditionalFormatting>
  <conditionalFormatting sqref="A38:A58">
    <cfRule type="duplicateValues" dxfId="126" priority="19"/>
  </conditionalFormatting>
  <conditionalFormatting sqref="A59:A64">
    <cfRule type="duplicateValues" dxfId="125" priority="5"/>
  </conditionalFormatting>
  <conditionalFormatting sqref="A64">
    <cfRule type="duplicateValues" dxfId="124" priority="4"/>
  </conditionalFormatting>
  <conditionalFormatting sqref="A65:A66">
    <cfRule type="duplicateValues" dxfId="123" priority="3"/>
  </conditionalFormatting>
  <conditionalFormatting sqref="B2:B327">
    <cfRule type="duplicateValues" dxfId="122" priority="27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941EC-6360-49E7-A099-EDE01A45538C}">
  <sheetPr codeName="Planilha2"/>
  <dimension ref="A1:E9"/>
  <sheetViews>
    <sheetView workbookViewId="0">
      <selection activeCell="A2" sqref="A2:A9"/>
    </sheetView>
  </sheetViews>
  <sheetFormatPr defaultRowHeight="14.4" x14ac:dyDescent="0.3"/>
  <cols>
    <col min="1" max="1" width="30.5546875" bestFit="1" customWidth="1"/>
    <col min="3" max="3" width="11.21875" bestFit="1" customWidth="1"/>
    <col min="4" max="4" width="15.44140625" bestFit="1" customWidth="1"/>
    <col min="5" max="5" width="10.21875" bestFit="1" customWidth="1"/>
  </cols>
  <sheetData>
    <row r="1" spans="1:5" x14ac:dyDescent="0.3">
      <c r="A1" s="6" t="s">
        <v>0</v>
      </c>
      <c r="B1" s="7" t="s">
        <v>1</v>
      </c>
      <c r="C1" s="7" t="s">
        <v>2</v>
      </c>
      <c r="D1" s="8" t="s">
        <v>75</v>
      </c>
      <c r="E1" s="9" t="s">
        <v>79</v>
      </c>
    </row>
    <row r="2" spans="1:5" x14ac:dyDescent="0.3">
      <c r="A2" s="3" t="s">
        <v>6</v>
      </c>
      <c r="B2" s="2">
        <v>4515049</v>
      </c>
      <c r="C2" s="2">
        <v>92012663</v>
      </c>
      <c r="D2" t="s">
        <v>67</v>
      </c>
      <c r="E2" t="s">
        <v>80</v>
      </c>
    </row>
    <row r="3" spans="1:5" x14ac:dyDescent="0.3">
      <c r="A3" s="3" t="s">
        <v>46</v>
      </c>
      <c r="B3" s="2">
        <v>405923</v>
      </c>
      <c r="C3" s="2">
        <v>92011921</v>
      </c>
      <c r="D3" t="s">
        <v>67</v>
      </c>
      <c r="E3" t="s">
        <v>80</v>
      </c>
    </row>
    <row r="4" spans="1:5" x14ac:dyDescent="0.3">
      <c r="A4" s="3" t="s">
        <v>39</v>
      </c>
      <c r="B4" s="2">
        <v>4653245</v>
      </c>
      <c r="C4" s="2">
        <v>92013089</v>
      </c>
      <c r="D4" t="s">
        <v>67</v>
      </c>
      <c r="E4" t="s">
        <v>80</v>
      </c>
    </row>
    <row r="5" spans="1:5" x14ac:dyDescent="0.3">
      <c r="A5" s="3" t="s">
        <v>35</v>
      </c>
      <c r="B5" s="2">
        <v>4640635</v>
      </c>
      <c r="C5" s="2">
        <v>92013048</v>
      </c>
      <c r="D5" t="s">
        <v>67</v>
      </c>
      <c r="E5" t="s">
        <v>80</v>
      </c>
    </row>
    <row r="6" spans="1:5" x14ac:dyDescent="0.3">
      <c r="A6" s="3" t="s">
        <v>49</v>
      </c>
      <c r="B6" s="1">
        <v>3283952</v>
      </c>
      <c r="C6" s="1">
        <v>92011088</v>
      </c>
      <c r="D6" t="s">
        <v>67</v>
      </c>
      <c r="E6" t="s">
        <v>80</v>
      </c>
    </row>
    <row r="7" spans="1:5" x14ac:dyDescent="0.3">
      <c r="A7" s="3" t="s">
        <v>59</v>
      </c>
      <c r="B7" s="2">
        <v>1010957</v>
      </c>
      <c r="C7" s="2">
        <v>92005663</v>
      </c>
      <c r="D7" t="s">
        <v>67</v>
      </c>
      <c r="E7" t="s">
        <v>80</v>
      </c>
    </row>
    <row r="8" spans="1:5" x14ac:dyDescent="0.3">
      <c r="A8" s="3" t="s">
        <v>40</v>
      </c>
      <c r="B8" s="2">
        <v>3279534</v>
      </c>
      <c r="C8" s="2">
        <v>92008085</v>
      </c>
      <c r="D8" t="s">
        <v>76</v>
      </c>
      <c r="E8" t="s">
        <v>80</v>
      </c>
    </row>
    <row r="9" spans="1:5" x14ac:dyDescent="0.3">
      <c r="A9" s="3" t="s">
        <v>20</v>
      </c>
      <c r="B9" s="2">
        <v>2085884</v>
      </c>
      <c r="C9" s="2">
        <v>92012823</v>
      </c>
      <c r="D9" t="s">
        <v>76</v>
      </c>
      <c r="E9" t="s">
        <v>80</v>
      </c>
    </row>
  </sheetData>
  <conditionalFormatting sqref="A1">
    <cfRule type="duplicateValues" dxfId="111" priority="1"/>
  </conditionalFormatting>
  <conditionalFormatting sqref="A2:A7">
    <cfRule type="duplicateValues" dxfId="110" priority="4"/>
  </conditionalFormatting>
  <conditionalFormatting sqref="A7">
    <cfRule type="duplicateValues" dxfId="109" priority="3"/>
  </conditionalFormatting>
  <conditionalFormatting sqref="A8:A9">
    <cfRule type="duplicateValues" dxfId="108" priority="2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569CC-17E5-4603-B854-E758A1962DAD}">
  <sheetPr codeName="Planilha14"/>
  <dimension ref="A1:G9"/>
  <sheetViews>
    <sheetView showGridLines="0" showRowColHeaders="0" workbookViewId="0">
      <selection activeCell="M22" sqref="L21:M22"/>
    </sheetView>
  </sheetViews>
  <sheetFormatPr defaultRowHeight="14.4" x14ac:dyDescent="0.3"/>
  <cols>
    <col min="1" max="1" width="19" customWidth="1"/>
    <col min="2" max="2" width="10.109375" bestFit="1" customWidth="1"/>
    <col min="8" max="14" width="8.88671875" customWidth="1"/>
    <col min="17" max="17" width="11" bestFit="1" customWidth="1"/>
  </cols>
  <sheetData>
    <row r="1" spans="1:7" x14ac:dyDescent="0.3">
      <c r="B1" s="41"/>
    </row>
    <row r="2" spans="1:7" x14ac:dyDescent="0.3">
      <c r="A2" s="3"/>
      <c r="B2" s="3"/>
    </row>
    <row r="3" spans="1:7" x14ac:dyDescent="0.3">
      <c r="A3" s="3"/>
      <c r="B3" s="3"/>
    </row>
    <row r="4" spans="1:7" x14ac:dyDescent="0.3">
      <c r="A4" s="3"/>
      <c r="B4" s="3"/>
    </row>
    <row r="5" spans="1:7" x14ac:dyDescent="0.3">
      <c r="A5" s="3"/>
      <c r="B5" s="3"/>
    </row>
    <row r="6" spans="1:7" x14ac:dyDescent="0.3">
      <c r="A6" s="3"/>
      <c r="B6" s="3"/>
      <c r="F6" s="44" t="s">
        <v>371</v>
      </c>
      <c r="G6" s="44">
        <f>COUNTIFS(COLABS!G:G, "ATIVO") + COUNTIFS(COLABS!G:G, "FÉRIAS")+COUNTIFS(COLABS!G:G, "AUSENTE")+COUNTIFS(COLABS!G:G, "AFASTADO")</f>
        <v>69</v>
      </c>
    </row>
    <row r="7" spans="1:7" x14ac:dyDescent="0.3">
      <c r="A7" s="3"/>
      <c r="B7" s="3"/>
      <c r="F7" s="44" t="s">
        <v>370</v>
      </c>
      <c r="G7" s="44">
        <f>COUNTIFS(COLABS!G:G, "ATIVO")</f>
        <v>65</v>
      </c>
    </row>
    <row r="8" spans="1:7" x14ac:dyDescent="0.3">
      <c r="A8" s="3"/>
      <c r="B8" s="3"/>
    </row>
    <row r="9" spans="1:7" x14ac:dyDescent="0.3">
      <c r="A9" s="3"/>
      <c r="B9" s="3"/>
    </row>
  </sheetData>
  <conditionalFormatting sqref="A2:A7">
    <cfRule type="duplicateValues" dxfId="107" priority="3"/>
  </conditionalFormatting>
  <conditionalFormatting sqref="A7">
    <cfRule type="duplicateValues" dxfId="106" priority="2"/>
  </conditionalFormatting>
  <conditionalFormatting sqref="A8:A9">
    <cfRule type="duplicateValues" dxfId="105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3B955-AC21-4092-BC35-D0CE4EEFCBBE}">
  <sheetPr codeName="Planilha3"/>
  <dimension ref="A1:B334"/>
  <sheetViews>
    <sheetView showGridLines="0" workbookViewId="0">
      <selection activeCell="A52" sqref="A52"/>
    </sheetView>
  </sheetViews>
  <sheetFormatPr defaultRowHeight="14.4" x14ac:dyDescent="0.3"/>
  <cols>
    <col min="1" max="1" width="44.5546875" style="22" bestFit="1" customWidth="1"/>
    <col min="2" max="2" width="19.109375" style="10" bestFit="1" customWidth="1"/>
  </cols>
  <sheetData>
    <row r="1" spans="1:2" x14ac:dyDescent="0.3">
      <c r="A1" s="40" t="s">
        <v>363</v>
      </c>
      <c r="B1" s="10" t="s">
        <v>362</v>
      </c>
    </row>
    <row r="2" spans="1:2" x14ac:dyDescent="0.3">
      <c r="A2" s="22" t="s">
        <v>68</v>
      </c>
      <c r="B2" s="10">
        <v>9</v>
      </c>
    </row>
    <row r="3" spans="1:2" x14ac:dyDescent="0.3">
      <c r="A3" s="22" t="s">
        <v>41</v>
      </c>
      <c r="B3" s="10">
        <v>1</v>
      </c>
    </row>
    <row r="4" spans="1:2" x14ac:dyDescent="0.3">
      <c r="A4" s="22" t="s">
        <v>7</v>
      </c>
      <c r="B4" s="10">
        <v>1</v>
      </c>
    </row>
    <row r="5" spans="1:2" x14ac:dyDescent="0.3">
      <c r="A5" s="22" t="s">
        <v>93</v>
      </c>
      <c r="B5" s="10">
        <v>1</v>
      </c>
    </row>
    <row r="6" spans="1:2" x14ac:dyDescent="0.3">
      <c r="A6" s="22" t="s">
        <v>43</v>
      </c>
      <c r="B6" s="10">
        <v>1</v>
      </c>
    </row>
    <row r="7" spans="1:2" x14ac:dyDescent="0.3">
      <c r="A7" s="22" t="s">
        <v>44</v>
      </c>
      <c r="B7" s="10">
        <v>1</v>
      </c>
    </row>
    <row r="8" spans="1:2" x14ac:dyDescent="0.3">
      <c r="A8" s="22" t="s">
        <v>42</v>
      </c>
      <c r="B8" s="10">
        <v>1</v>
      </c>
    </row>
    <row r="9" spans="1:2" x14ac:dyDescent="0.3">
      <c r="A9" s="22" t="s">
        <v>60</v>
      </c>
      <c r="B9" s="10">
        <v>1</v>
      </c>
    </row>
    <row r="10" spans="1:2" x14ac:dyDescent="0.3">
      <c r="A10" s="22" t="s">
        <v>45</v>
      </c>
      <c r="B10" s="10">
        <v>1</v>
      </c>
    </row>
    <row r="11" spans="1:2" x14ac:dyDescent="0.3">
      <c r="A11" s="22" t="s">
        <v>8</v>
      </c>
      <c r="B11" s="10">
        <v>1</v>
      </c>
    </row>
    <row r="12" spans="1:2" x14ac:dyDescent="0.3">
      <c r="A12" s="22" t="s">
        <v>78</v>
      </c>
      <c r="B12" s="10">
        <v>7</v>
      </c>
    </row>
    <row r="13" spans="1:2" x14ac:dyDescent="0.3">
      <c r="A13" s="22" t="s">
        <v>23</v>
      </c>
      <c r="B13" s="10">
        <v>1</v>
      </c>
    </row>
    <row r="14" spans="1:2" x14ac:dyDescent="0.3">
      <c r="A14" s="22" t="s">
        <v>19</v>
      </c>
      <c r="B14" s="10">
        <v>1</v>
      </c>
    </row>
    <row r="15" spans="1:2" x14ac:dyDescent="0.3">
      <c r="A15" s="22" t="s">
        <v>21</v>
      </c>
      <c r="B15" s="10">
        <v>1</v>
      </c>
    </row>
    <row r="16" spans="1:2" x14ac:dyDescent="0.3">
      <c r="A16" s="22" t="s">
        <v>63</v>
      </c>
      <c r="B16" s="10">
        <v>1</v>
      </c>
    </row>
    <row r="17" spans="1:2" x14ac:dyDescent="0.3">
      <c r="A17" s="22" t="s">
        <v>3</v>
      </c>
      <c r="B17" s="10">
        <v>1</v>
      </c>
    </row>
    <row r="18" spans="1:2" x14ac:dyDescent="0.3">
      <c r="A18" s="22" t="s">
        <v>5</v>
      </c>
      <c r="B18" s="10">
        <v>1</v>
      </c>
    </row>
    <row r="19" spans="1:2" x14ac:dyDescent="0.3">
      <c r="A19" s="22" t="s">
        <v>22</v>
      </c>
      <c r="B19" s="10">
        <v>1</v>
      </c>
    </row>
    <row r="20" spans="1:2" x14ac:dyDescent="0.3">
      <c r="A20" s="22" t="s">
        <v>70</v>
      </c>
      <c r="B20" s="10">
        <v>7</v>
      </c>
    </row>
    <row r="21" spans="1:2" x14ac:dyDescent="0.3">
      <c r="A21" s="22" t="s">
        <v>51</v>
      </c>
      <c r="B21" s="10">
        <v>1</v>
      </c>
    </row>
    <row r="22" spans="1:2" x14ac:dyDescent="0.3">
      <c r="A22" s="22" t="s">
        <v>10</v>
      </c>
      <c r="B22" s="10">
        <v>1</v>
      </c>
    </row>
    <row r="23" spans="1:2" x14ac:dyDescent="0.3">
      <c r="A23" s="22" t="s">
        <v>47</v>
      </c>
      <c r="B23" s="10">
        <v>1</v>
      </c>
    </row>
    <row r="24" spans="1:2" x14ac:dyDescent="0.3">
      <c r="A24" s="22" t="s">
        <v>4</v>
      </c>
      <c r="B24" s="10">
        <v>1</v>
      </c>
    </row>
    <row r="25" spans="1:2" x14ac:dyDescent="0.3">
      <c r="A25" s="22" t="s">
        <v>58</v>
      </c>
      <c r="B25" s="10">
        <v>1</v>
      </c>
    </row>
    <row r="26" spans="1:2" x14ac:dyDescent="0.3">
      <c r="A26" s="22" t="s">
        <v>52</v>
      </c>
      <c r="B26" s="10">
        <v>1</v>
      </c>
    </row>
    <row r="27" spans="1:2" x14ac:dyDescent="0.3">
      <c r="A27" s="22" t="s">
        <v>66</v>
      </c>
      <c r="B27" s="10">
        <v>1</v>
      </c>
    </row>
    <row r="28" spans="1:2" x14ac:dyDescent="0.3">
      <c r="A28" s="22" t="s">
        <v>71</v>
      </c>
      <c r="B28" s="10">
        <v>6</v>
      </c>
    </row>
    <row r="29" spans="1:2" x14ac:dyDescent="0.3">
      <c r="A29" s="22" t="s">
        <v>24</v>
      </c>
      <c r="B29" s="10">
        <v>1</v>
      </c>
    </row>
    <row r="30" spans="1:2" x14ac:dyDescent="0.3">
      <c r="A30" s="22" t="s">
        <v>57</v>
      </c>
      <c r="B30" s="10">
        <v>1</v>
      </c>
    </row>
    <row r="31" spans="1:2" x14ac:dyDescent="0.3">
      <c r="A31" s="22" t="s">
        <v>9</v>
      </c>
      <c r="B31" s="10">
        <v>1</v>
      </c>
    </row>
    <row r="32" spans="1:2" x14ac:dyDescent="0.3">
      <c r="A32" s="22" t="s">
        <v>30</v>
      </c>
      <c r="B32" s="10">
        <v>1</v>
      </c>
    </row>
    <row r="33" spans="1:2" x14ac:dyDescent="0.3">
      <c r="A33" s="22" t="s">
        <v>56</v>
      </c>
      <c r="B33" s="10">
        <v>1</v>
      </c>
    </row>
    <row r="34" spans="1:2" x14ac:dyDescent="0.3">
      <c r="A34" s="22" t="s">
        <v>62</v>
      </c>
      <c r="B34" s="10">
        <v>1</v>
      </c>
    </row>
    <row r="35" spans="1:2" x14ac:dyDescent="0.3">
      <c r="A35" s="22" t="s">
        <v>72</v>
      </c>
      <c r="B35" s="10">
        <v>7</v>
      </c>
    </row>
    <row r="36" spans="1:2" x14ac:dyDescent="0.3">
      <c r="A36" s="22" t="s">
        <v>26</v>
      </c>
      <c r="B36" s="10">
        <v>1</v>
      </c>
    </row>
    <row r="37" spans="1:2" x14ac:dyDescent="0.3">
      <c r="A37" s="22" t="s">
        <v>48</v>
      </c>
      <c r="B37" s="10">
        <v>1</v>
      </c>
    </row>
    <row r="38" spans="1:2" x14ac:dyDescent="0.3">
      <c r="A38" s="22" t="s">
        <v>29</v>
      </c>
      <c r="B38" s="10">
        <v>1</v>
      </c>
    </row>
    <row r="39" spans="1:2" x14ac:dyDescent="0.3">
      <c r="A39" s="22" t="s">
        <v>12</v>
      </c>
      <c r="B39" s="10">
        <v>1</v>
      </c>
    </row>
    <row r="40" spans="1:2" x14ac:dyDescent="0.3">
      <c r="A40" s="22" t="s">
        <v>54</v>
      </c>
      <c r="B40" s="10">
        <v>1</v>
      </c>
    </row>
    <row r="41" spans="1:2" x14ac:dyDescent="0.3">
      <c r="A41" s="22" t="s">
        <v>11</v>
      </c>
      <c r="B41" s="10">
        <v>1</v>
      </c>
    </row>
    <row r="42" spans="1:2" x14ac:dyDescent="0.3">
      <c r="A42" s="22" t="s">
        <v>28</v>
      </c>
      <c r="B42" s="10">
        <v>1</v>
      </c>
    </row>
    <row r="43" spans="1:2" x14ac:dyDescent="0.3">
      <c r="A43" s="22" t="s">
        <v>73</v>
      </c>
      <c r="B43" s="10">
        <v>7</v>
      </c>
    </row>
    <row r="44" spans="1:2" x14ac:dyDescent="0.3">
      <c r="A44" s="22" t="s">
        <v>16</v>
      </c>
      <c r="B44" s="10">
        <v>1</v>
      </c>
    </row>
    <row r="45" spans="1:2" x14ac:dyDescent="0.3">
      <c r="A45" s="22" t="s">
        <v>50</v>
      </c>
      <c r="B45" s="10">
        <v>1</v>
      </c>
    </row>
    <row r="46" spans="1:2" x14ac:dyDescent="0.3">
      <c r="A46" s="22" t="s">
        <v>53</v>
      </c>
      <c r="B46" s="10">
        <v>1</v>
      </c>
    </row>
    <row r="47" spans="1:2" x14ac:dyDescent="0.3">
      <c r="A47" s="22" t="s">
        <v>25</v>
      </c>
      <c r="B47" s="10">
        <v>1</v>
      </c>
    </row>
    <row r="48" spans="1:2" x14ac:dyDescent="0.3">
      <c r="A48" s="22" t="s">
        <v>55</v>
      </c>
      <c r="B48" s="10">
        <v>1</v>
      </c>
    </row>
    <row r="49" spans="1:2" x14ac:dyDescent="0.3">
      <c r="A49" s="22" t="s">
        <v>17</v>
      </c>
      <c r="B49" s="10">
        <v>1</v>
      </c>
    </row>
    <row r="50" spans="1:2" x14ac:dyDescent="0.3">
      <c r="A50" s="22" t="s">
        <v>18</v>
      </c>
      <c r="B50" s="10">
        <v>1</v>
      </c>
    </row>
    <row r="51" spans="1:2" x14ac:dyDescent="0.3">
      <c r="A51" s="22" t="s">
        <v>86</v>
      </c>
      <c r="B51" s="10">
        <v>19</v>
      </c>
    </row>
    <row r="52" spans="1:2" x14ac:dyDescent="0.3">
      <c r="A52" s="22" t="s">
        <v>6</v>
      </c>
      <c r="B52" s="10">
        <v>1</v>
      </c>
    </row>
    <row r="53" spans="1:2" x14ac:dyDescent="0.3">
      <c r="A53" s="26" t="s">
        <v>40</v>
      </c>
      <c r="B53" s="10">
        <v>1</v>
      </c>
    </row>
    <row r="54" spans="1:2" x14ac:dyDescent="0.3">
      <c r="A54" s="26" t="s">
        <v>96</v>
      </c>
      <c r="B54" s="10">
        <v>1</v>
      </c>
    </row>
    <row r="55" spans="1:2" x14ac:dyDescent="0.3">
      <c r="A55" s="22" t="s">
        <v>46</v>
      </c>
      <c r="B55" s="10">
        <v>1</v>
      </c>
    </row>
    <row r="56" spans="1:2" x14ac:dyDescent="0.3">
      <c r="A56" s="26" t="s">
        <v>14</v>
      </c>
      <c r="B56" s="10">
        <v>1</v>
      </c>
    </row>
    <row r="57" spans="1:2" x14ac:dyDescent="0.3">
      <c r="A57" s="26" t="s">
        <v>36</v>
      </c>
      <c r="B57" s="10">
        <v>1</v>
      </c>
    </row>
    <row r="58" spans="1:2" x14ac:dyDescent="0.3">
      <c r="A58" s="26" t="s">
        <v>20</v>
      </c>
      <c r="B58" s="10">
        <v>1</v>
      </c>
    </row>
    <row r="59" spans="1:2" x14ac:dyDescent="0.3">
      <c r="A59" s="22" t="s">
        <v>39</v>
      </c>
      <c r="B59" s="10">
        <v>1</v>
      </c>
    </row>
    <row r="60" spans="1:2" x14ac:dyDescent="0.3">
      <c r="A60" s="22" t="s">
        <v>35</v>
      </c>
      <c r="B60" s="10">
        <v>1</v>
      </c>
    </row>
    <row r="61" spans="1:2" x14ac:dyDescent="0.3">
      <c r="A61" s="22" t="s">
        <v>49</v>
      </c>
      <c r="B61" s="10">
        <v>1</v>
      </c>
    </row>
    <row r="62" spans="1:2" x14ac:dyDescent="0.3">
      <c r="A62" s="26" t="s">
        <v>37</v>
      </c>
      <c r="B62" s="10">
        <v>1</v>
      </c>
    </row>
    <row r="63" spans="1:2" x14ac:dyDescent="0.3">
      <c r="A63" s="26" t="s">
        <v>97</v>
      </c>
      <c r="B63" s="10">
        <v>1</v>
      </c>
    </row>
    <row r="64" spans="1:2" x14ac:dyDescent="0.3">
      <c r="A64" s="26" t="s">
        <v>32</v>
      </c>
      <c r="B64" s="10">
        <v>1</v>
      </c>
    </row>
    <row r="65" spans="1:2" x14ac:dyDescent="0.3">
      <c r="A65" s="26" t="s">
        <v>98</v>
      </c>
      <c r="B65" s="10">
        <v>1</v>
      </c>
    </row>
    <row r="66" spans="1:2" x14ac:dyDescent="0.3">
      <c r="A66" s="26" t="s">
        <v>64</v>
      </c>
      <c r="B66" s="10">
        <v>1</v>
      </c>
    </row>
    <row r="67" spans="1:2" x14ac:dyDescent="0.3">
      <c r="A67" s="26" t="s">
        <v>33</v>
      </c>
      <c r="B67" s="10">
        <v>1</v>
      </c>
    </row>
    <row r="68" spans="1:2" x14ac:dyDescent="0.3">
      <c r="A68" s="22" t="s">
        <v>59</v>
      </c>
      <c r="B68" s="10">
        <v>1</v>
      </c>
    </row>
    <row r="69" spans="1:2" x14ac:dyDescent="0.3">
      <c r="A69" s="26" t="s">
        <v>38</v>
      </c>
      <c r="B69" s="10">
        <v>1</v>
      </c>
    </row>
    <row r="70" spans="1:2" x14ac:dyDescent="0.3">
      <c r="A70" s="26" t="s">
        <v>34</v>
      </c>
      <c r="B70" s="10">
        <v>1</v>
      </c>
    </row>
    <row r="71" spans="1:2" x14ac:dyDescent="0.3">
      <c r="A71" s="22" t="s">
        <v>74</v>
      </c>
      <c r="B71" s="10">
        <v>7</v>
      </c>
    </row>
    <row r="72" spans="1:2" x14ac:dyDescent="0.3">
      <c r="A72" s="22" t="s">
        <v>15</v>
      </c>
      <c r="B72" s="10">
        <v>1</v>
      </c>
    </row>
    <row r="73" spans="1:2" x14ac:dyDescent="0.3">
      <c r="A73" s="22" t="s">
        <v>65</v>
      </c>
      <c r="B73" s="10">
        <v>2</v>
      </c>
    </row>
    <row r="74" spans="1:2" x14ac:dyDescent="0.3">
      <c r="A74" s="22" t="s">
        <v>27</v>
      </c>
      <c r="B74" s="10">
        <v>1</v>
      </c>
    </row>
    <row r="75" spans="1:2" x14ac:dyDescent="0.3">
      <c r="A75" s="22" t="s">
        <v>31</v>
      </c>
      <c r="B75" s="10">
        <v>1</v>
      </c>
    </row>
    <row r="76" spans="1:2" x14ac:dyDescent="0.3">
      <c r="A76" s="22" t="s">
        <v>61</v>
      </c>
      <c r="B76" s="10">
        <v>1</v>
      </c>
    </row>
    <row r="77" spans="1:2" x14ac:dyDescent="0.3">
      <c r="A77" s="22" t="s">
        <v>13</v>
      </c>
      <c r="B77" s="10">
        <v>1</v>
      </c>
    </row>
    <row r="78" spans="1:2" x14ac:dyDescent="0.3">
      <c r="A78" s="22" t="s">
        <v>361</v>
      </c>
      <c r="B78" s="10">
        <v>69</v>
      </c>
    </row>
    <row r="79" spans="1:2" x14ac:dyDescent="0.3">
      <c r="A79"/>
      <c r="B79"/>
    </row>
    <row r="80" spans="1:2" x14ac:dyDescent="0.3">
      <c r="A80"/>
      <c r="B80"/>
    </row>
    <row r="81" spans="1:2" x14ac:dyDescent="0.3">
      <c r="A81"/>
      <c r="B81"/>
    </row>
    <row r="82" spans="1:2" x14ac:dyDescent="0.3">
      <c r="A82"/>
      <c r="B82"/>
    </row>
    <row r="83" spans="1:2" x14ac:dyDescent="0.3">
      <c r="A83"/>
      <c r="B83"/>
    </row>
    <row r="84" spans="1:2" x14ac:dyDescent="0.3">
      <c r="A84"/>
      <c r="B84"/>
    </row>
    <row r="85" spans="1:2" x14ac:dyDescent="0.3">
      <c r="A85"/>
      <c r="B85"/>
    </row>
    <row r="86" spans="1:2" x14ac:dyDescent="0.3">
      <c r="A86"/>
      <c r="B86"/>
    </row>
    <row r="87" spans="1:2" x14ac:dyDescent="0.3">
      <c r="A87"/>
      <c r="B87"/>
    </row>
    <row r="88" spans="1:2" x14ac:dyDescent="0.3">
      <c r="A88"/>
      <c r="B88"/>
    </row>
    <row r="89" spans="1:2" x14ac:dyDescent="0.3">
      <c r="A89"/>
      <c r="B89"/>
    </row>
    <row r="90" spans="1:2" x14ac:dyDescent="0.3">
      <c r="A90"/>
      <c r="B90"/>
    </row>
    <row r="91" spans="1:2" x14ac:dyDescent="0.3">
      <c r="A91"/>
      <c r="B91"/>
    </row>
    <row r="92" spans="1:2" x14ac:dyDescent="0.3">
      <c r="A92"/>
      <c r="B92"/>
    </row>
    <row r="93" spans="1:2" x14ac:dyDescent="0.3">
      <c r="A93"/>
      <c r="B93"/>
    </row>
    <row r="94" spans="1:2" x14ac:dyDescent="0.3">
      <c r="A94"/>
      <c r="B94"/>
    </row>
    <row r="95" spans="1:2" x14ac:dyDescent="0.3">
      <c r="A95"/>
      <c r="B95"/>
    </row>
    <row r="96" spans="1:2" x14ac:dyDescent="0.3">
      <c r="A96"/>
      <c r="B96"/>
    </row>
    <row r="97" spans="1:2" x14ac:dyDescent="0.3">
      <c r="A97"/>
      <c r="B97"/>
    </row>
    <row r="98" spans="1:2" x14ac:dyDescent="0.3">
      <c r="A98"/>
      <c r="B98"/>
    </row>
    <row r="99" spans="1:2" x14ac:dyDescent="0.3">
      <c r="A99"/>
      <c r="B99"/>
    </row>
    <row r="100" spans="1:2" x14ac:dyDescent="0.3">
      <c r="A100"/>
      <c r="B100"/>
    </row>
    <row r="101" spans="1:2" x14ac:dyDescent="0.3">
      <c r="A101"/>
      <c r="B101"/>
    </row>
    <row r="102" spans="1:2" x14ac:dyDescent="0.3">
      <c r="A102"/>
      <c r="B102"/>
    </row>
    <row r="103" spans="1:2" x14ac:dyDescent="0.3">
      <c r="A103"/>
      <c r="B103"/>
    </row>
    <row r="104" spans="1:2" x14ac:dyDescent="0.3">
      <c r="A104"/>
      <c r="B104"/>
    </row>
    <row r="105" spans="1:2" x14ac:dyDescent="0.3">
      <c r="A105"/>
      <c r="B105"/>
    </row>
    <row r="106" spans="1:2" x14ac:dyDescent="0.3">
      <c r="A106"/>
      <c r="B106"/>
    </row>
    <row r="107" spans="1:2" x14ac:dyDescent="0.3">
      <c r="A107"/>
      <c r="B107"/>
    </row>
    <row r="108" spans="1:2" x14ac:dyDescent="0.3">
      <c r="A108"/>
      <c r="B108"/>
    </row>
    <row r="109" spans="1:2" x14ac:dyDescent="0.3">
      <c r="A109"/>
      <c r="B109"/>
    </row>
    <row r="110" spans="1:2" x14ac:dyDescent="0.3">
      <c r="A110"/>
      <c r="B110"/>
    </row>
    <row r="111" spans="1:2" x14ac:dyDescent="0.3">
      <c r="A111"/>
      <c r="B111"/>
    </row>
    <row r="112" spans="1:2" x14ac:dyDescent="0.3">
      <c r="A112"/>
      <c r="B112"/>
    </row>
    <row r="113" spans="1:2" x14ac:dyDescent="0.3">
      <c r="A113"/>
      <c r="B113"/>
    </row>
    <row r="114" spans="1:2" x14ac:dyDescent="0.3">
      <c r="A114"/>
      <c r="B114"/>
    </row>
    <row r="115" spans="1:2" x14ac:dyDescent="0.3">
      <c r="A115"/>
      <c r="B115"/>
    </row>
    <row r="116" spans="1:2" x14ac:dyDescent="0.3">
      <c r="A116"/>
      <c r="B116"/>
    </row>
    <row r="117" spans="1:2" x14ac:dyDescent="0.3">
      <c r="A117"/>
      <c r="B117"/>
    </row>
    <row r="118" spans="1:2" x14ac:dyDescent="0.3">
      <c r="A118"/>
      <c r="B118"/>
    </row>
    <row r="119" spans="1:2" x14ac:dyDescent="0.3">
      <c r="A119"/>
      <c r="B119"/>
    </row>
    <row r="120" spans="1:2" x14ac:dyDescent="0.3">
      <c r="A120"/>
      <c r="B120"/>
    </row>
    <row r="121" spans="1:2" x14ac:dyDescent="0.3">
      <c r="A121"/>
      <c r="B121"/>
    </row>
    <row r="122" spans="1:2" x14ac:dyDescent="0.3">
      <c r="A122"/>
      <c r="B122"/>
    </row>
    <row r="123" spans="1:2" x14ac:dyDescent="0.3">
      <c r="A123"/>
      <c r="B123"/>
    </row>
    <row r="124" spans="1:2" x14ac:dyDescent="0.3">
      <c r="A124"/>
      <c r="B124"/>
    </row>
    <row r="125" spans="1:2" x14ac:dyDescent="0.3">
      <c r="A125"/>
      <c r="B125"/>
    </row>
    <row r="126" spans="1:2" x14ac:dyDescent="0.3">
      <c r="A126"/>
      <c r="B126"/>
    </row>
    <row r="127" spans="1:2" x14ac:dyDescent="0.3">
      <c r="A127"/>
      <c r="B127"/>
    </row>
    <row r="128" spans="1:2" x14ac:dyDescent="0.3">
      <c r="A128"/>
      <c r="B128"/>
    </row>
    <row r="129" spans="1:2" x14ac:dyDescent="0.3">
      <c r="A129"/>
      <c r="B129"/>
    </row>
    <row r="130" spans="1:2" x14ac:dyDescent="0.3">
      <c r="A130"/>
      <c r="B130"/>
    </row>
    <row r="131" spans="1:2" x14ac:dyDescent="0.3">
      <c r="A131"/>
      <c r="B131"/>
    </row>
    <row r="132" spans="1:2" x14ac:dyDescent="0.3">
      <c r="A132"/>
      <c r="B132"/>
    </row>
    <row r="133" spans="1:2" x14ac:dyDescent="0.3">
      <c r="A133"/>
      <c r="B133"/>
    </row>
    <row r="134" spans="1:2" x14ac:dyDescent="0.3">
      <c r="A134"/>
      <c r="B134"/>
    </row>
    <row r="135" spans="1:2" x14ac:dyDescent="0.3">
      <c r="A135"/>
      <c r="B135"/>
    </row>
    <row r="136" spans="1:2" x14ac:dyDescent="0.3">
      <c r="A136"/>
      <c r="B136"/>
    </row>
    <row r="137" spans="1:2" x14ac:dyDescent="0.3">
      <c r="A137"/>
      <c r="B137"/>
    </row>
    <row r="138" spans="1:2" x14ac:dyDescent="0.3">
      <c r="A138"/>
      <c r="B138"/>
    </row>
    <row r="139" spans="1:2" x14ac:dyDescent="0.3">
      <c r="A139"/>
      <c r="B139"/>
    </row>
    <row r="140" spans="1:2" x14ac:dyDescent="0.3">
      <c r="A140"/>
      <c r="B140"/>
    </row>
    <row r="141" spans="1:2" x14ac:dyDescent="0.3">
      <c r="A141"/>
      <c r="B141"/>
    </row>
    <row r="142" spans="1:2" x14ac:dyDescent="0.3">
      <c r="A142"/>
      <c r="B142"/>
    </row>
    <row r="143" spans="1:2" x14ac:dyDescent="0.3">
      <c r="A143"/>
      <c r="B143"/>
    </row>
    <row r="144" spans="1:2" x14ac:dyDescent="0.3">
      <c r="A144"/>
      <c r="B144"/>
    </row>
    <row r="145" spans="1:2" x14ac:dyDescent="0.3">
      <c r="A145"/>
      <c r="B145"/>
    </row>
    <row r="146" spans="1:2" x14ac:dyDescent="0.3">
      <c r="A146"/>
      <c r="B146"/>
    </row>
    <row r="147" spans="1:2" x14ac:dyDescent="0.3">
      <c r="A147"/>
      <c r="B147"/>
    </row>
    <row r="148" spans="1:2" x14ac:dyDescent="0.3">
      <c r="A148"/>
      <c r="B148"/>
    </row>
    <row r="149" spans="1:2" x14ac:dyDescent="0.3">
      <c r="A149"/>
      <c r="B149"/>
    </row>
    <row r="150" spans="1:2" x14ac:dyDescent="0.3">
      <c r="A150"/>
      <c r="B150"/>
    </row>
    <row r="151" spans="1:2" x14ac:dyDescent="0.3">
      <c r="A151"/>
      <c r="B151"/>
    </row>
    <row r="152" spans="1:2" x14ac:dyDescent="0.3">
      <c r="A152"/>
      <c r="B152"/>
    </row>
    <row r="153" spans="1:2" x14ac:dyDescent="0.3">
      <c r="A153"/>
      <c r="B153"/>
    </row>
    <row r="154" spans="1:2" x14ac:dyDescent="0.3">
      <c r="A154"/>
      <c r="B154"/>
    </row>
    <row r="155" spans="1:2" x14ac:dyDescent="0.3">
      <c r="A155"/>
      <c r="B155"/>
    </row>
    <row r="156" spans="1:2" x14ac:dyDescent="0.3">
      <c r="A156"/>
      <c r="B156"/>
    </row>
    <row r="157" spans="1:2" x14ac:dyDescent="0.3">
      <c r="A157"/>
      <c r="B157"/>
    </row>
    <row r="158" spans="1:2" x14ac:dyDescent="0.3">
      <c r="A158"/>
      <c r="B158"/>
    </row>
    <row r="159" spans="1:2" x14ac:dyDescent="0.3">
      <c r="A159"/>
      <c r="B159"/>
    </row>
    <row r="160" spans="1:2" x14ac:dyDescent="0.3">
      <c r="A160"/>
      <c r="B160"/>
    </row>
    <row r="161" spans="1:2" x14ac:dyDescent="0.3">
      <c r="A161"/>
      <c r="B161"/>
    </row>
    <row r="162" spans="1:2" x14ac:dyDescent="0.3">
      <c r="A162"/>
      <c r="B162"/>
    </row>
    <row r="163" spans="1:2" x14ac:dyDescent="0.3">
      <c r="A163"/>
      <c r="B163"/>
    </row>
    <row r="164" spans="1:2" x14ac:dyDescent="0.3">
      <c r="A164"/>
      <c r="B164"/>
    </row>
    <row r="165" spans="1:2" x14ac:dyDescent="0.3">
      <c r="A165"/>
      <c r="B165"/>
    </row>
    <row r="166" spans="1:2" x14ac:dyDescent="0.3">
      <c r="A166"/>
      <c r="B166"/>
    </row>
    <row r="167" spans="1:2" x14ac:dyDescent="0.3">
      <c r="A167"/>
      <c r="B167"/>
    </row>
    <row r="168" spans="1:2" x14ac:dyDescent="0.3">
      <c r="A168"/>
      <c r="B168"/>
    </row>
    <row r="169" spans="1:2" x14ac:dyDescent="0.3">
      <c r="A169"/>
      <c r="B169"/>
    </row>
    <row r="170" spans="1:2" x14ac:dyDescent="0.3">
      <c r="A170"/>
      <c r="B170"/>
    </row>
    <row r="171" spans="1:2" x14ac:dyDescent="0.3">
      <c r="A171"/>
      <c r="B171"/>
    </row>
    <row r="172" spans="1:2" x14ac:dyDescent="0.3">
      <c r="A172"/>
      <c r="B172"/>
    </row>
    <row r="173" spans="1:2" x14ac:dyDescent="0.3">
      <c r="A173"/>
      <c r="B173"/>
    </row>
    <row r="174" spans="1:2" x14ac:dyDescent="0.3">
      <c r="A174"/>
      <c r="B174"/>
    </row>
    <row r="175" spans="1:2" x14ac:dyDescent="0.3">
      <c r="A175"/>
      <c r="B175"/>
    </row>
    <row r="176" spans="1:2" x14ac:dyDescent="0.3">
      <c r="A176"/>
      <c r="B176"/>
    </row>
    <row r="177" spans="1:2" x14ac:dyDescent="0.3">
      <c r="A177"/>
      <c r="B177"/>
    </row>
    <row r="178" spans="1:2" x14ac:dyDescent="0.3">
      <c r="A178"/>
      <c r="B178"/>
    </row>
    <row r="179" spans="1:2" x14ac:dyDescent="0.3">
      <c r="A179"/>
      <c r="B179"/>
    </row>
    <row r="180" spans="1:2" x14ac:dyDescent="0.3">
      <c r="A180"/>
      <c r="B180"/>
    </row>
    <row r="181" spans="1:2" x14ac:dyDescent="0.3">
      <c r="A181"/>
      <c r="B181"/>
    </row>
    <row r="182" spans="1:2" x14ac:dyDescent="0.3">
      <c r="A182"/>
      <c r="B182"/>
    </row>
    <row r="183" spans="1:2" x14ac:dyDescent="0.3">
      <c r="A183"/>
      <c r="B183"/>
    </row>
    <row r="184" spans="1:2" x14ac:dyDescent="0.3">
      <c r="A184"/>
      <c r="B184"/>
    </row>
    <row r="185" spans="1:2" x14ac:dyDescent="0.3">
      <c r="A185"/>
      <c r="B185"/>
    </row>
    <row r="186" spans="1:2" x14ac:dyDescent="0.3">
      <c r="A186"/>
      <c r="B186"/>
    </row>
    <row r="187" spans="1:2" x14ac:dyDescent="0.3">
      <c r="A187"/>
      <c r="B187"/>
    </row>
    <row r="188" spans="1:2" x14ac:dyDescent="0.3">
      <c r="A188"/>
      <c r="B188"/>
    </row>
    <row r="189" spans="1:2" x14ac:dyDescent="0.3">
      <c r="A189"/>
      <c r="B189"/>
    </row>
    <row r="190" spans="1:2" x14ac:dyDescent="0.3">
      <c r="A190"/>
      <c r="B190"/>
    </row>
    <row r="191" spans="1:2" x14ac:dyDescent="0.3">
      <c r="A191"/>
      <c r="B191"/>
    </row>
    <row r="192" spans="1:2" x14ac:dyDescent="0.3">
      <c r="A192"/>
      <c r="B192"/>
    </row>
    <row r="193" spans="1:2" x14ac:dyDescent="0.3">
      <c r="A193"/>
      <c r="B193"/>
    </row>
    <row r="194" spans="1:2" x14ac:dyDescent="0.3">
      <c r="A194"/>
      <c r="B194"/>
    </row>
    <row r="195" spans="1:2" x14ac:dyDescent="0.3">
      <c r="A195"/>
      <c r="B195"/>
    </row>
    <row r="196" spans="1:2" x14ac:dyDescent="0.3">
      <c r="A196"/>
      <c r="B196"/>
    </row>
    <row r="197" spans="1:2" x14ac:dyDescent="0.3">
      <c r="A197"/>
      <c r="B197"/>
    </row>
    <row r="198" spans="1:2" x14ac:dyDescent="0.3">
      <c r="A198"/>
      <c r="B198"/>
    </row>
    <row r="199" spans="1:2" x14ac:dyDescent="0.3">
      <c r="A199"/>
      <c r="B199"/>
    </row>
    <row r="200" spans="1:2" x14ac:dyDescent="0.3">
      <c r="A200"/>
      <c r="B200"/>
    </row>
    <row r="201" spans="1:2" x14ac:dyDescent="0.3">
      <c r="A201"/>
      <c r="B201"/>
    </row>
    <row r="202" spans="1:2" x14ac:dyDescent="0.3">
      <c r="A202"/>
      <c r="B202"/>
    </row>
    <row r="203" spans="1:2" x14ac:dyDescent="0.3">
      <c r="A203"/>
      <c r="B203"/>
    </row>
    <row r="204" spans="1:2" x14ac:dyDescent="0.3">
      <c r="A204"/>
      <c r="B204"/>
    </row>
    <row r="205" spans="1:2" x14ac:dyDescent="0.3">
      <c r="A205"/>
      <c r="B205"/>
    </row>
    <row r="206" spans="1:2" x14ac:dyDescent="0.3">
      <c r="A206"/>
      <c r="B206"/>
    </row>
    <row r="207" spans="1:2" x14ac:dyDescent="0.3">
      <c r="A207"/>
      <c r="B207"/>
    </row>
    <row r="208" spans="1:2" x14ac:dyDescent="0.3">
      <c r="A208"/>
      <c r="B208"/>
    </row>
    <row r="209" spans="1:2" x14ac:dyDescent="0.3">
      <c r="A209"/>
      <c r="B209"/>
    </row>
    <row r="210" spans="1:2" x14ac:dyDescent="0.3">
      <c r="A210"/>
      <c r="B210"/>
    </row>
    <row r="211" spans="1:2" x14ac:dyDescent="0.3">
      <c r="A211"/>
      <c r="B211"/>
    </row>
    <row r="212" spans="1:2" x14ac:dyDescent="0.3">
      <c r="A212"/>
      <c r="B212"/>
    </row>
    <row r="213" spans="1:2" x14ac:dyDescent="0.3">
      <c r="A213"/>
      <c r="B213"/>
    </row>
    <row r="214" spans="1:2" x14ac:dyDescent="0.3">
      <c r="A214"/>
      <c r="B214"/>
    </row>
    <row r="215" spans="1:2" x14ac:dyDescent="0.3">
      <c r="A215"/>
      <c r="B215"/>
    </row>
    <row r="216" spans="1:2" x14ac:dyDescent="0.3">
      <c r="A216"/>
      <c r="B216"/>
    </row>
    <row r="217" spans="1:2" x14ac:dyDescent="0.3">
      <c r="A217"/>
      <c r="B217"/>
    </row>
    <row r="218" spans="1:2" x14ac:dyDescent="0.3">
      <c r="A218"/>
      <c r="B218"/>
    </row>
    <row r="219" spans="1:2" x14ac:dyDescent="0.3">
      <c r="A219"/>
      <c r="B219"/>
    </row>
    <row r="220" spans="1:2" x14ac:dyDescent="0.3">
      <c r="A220"/>
      <c r="B220"/>
    </row>
    <row r="221" spans="1:2" x14ac:dyDescent="0.3">
      <c r="A221"/>
      <c r="B221"/>
    </row>
    <row r="222" spans="1:2" x14ac:dyDescent="0.3">
      <c r="A222"/>
      <c r="B222"/>
    </row>
    <row r="223" spans="1:2" x14ac:dyDescent="0.3">
      <c r="A223"/>
      <c r="B223"/>
    </row>
    <row r="224" spans="1:2" x14ac:dyDescent="0.3">
      <c r="A224"/>
      <c r="B224"/>
    </row>
    <row r="225" spans="1:2" x14ac:dyDescent="0.3">
      <c r="A225"/>
      <c r="B225"/>
    </row>
    <row r="226" spans="1:2" x14ac:dyDescent="0.3">
      <c r="A226"/>
      <c r="B226"/>
    </row>
    <row r="227" spans="1:2" x14ac:dyDescent="0.3">
      <c r="A227"/>
      <c r="B227"/>
    </row>
    <row r="228" spans="1:2" x14ac:dyDescent="0.3">
      <c r="A228"/>
      <c r="B228"/>
    </row>
    <row r="229" spans="1:2" x14ac:dyDescent="0.3">
      <c r="A229"/>
      <c r="B229"/>
    </row>
    <row r="230" spans="1:2" x14ac:dyDescent="0.3">
      <c r="A230"/>
      <c r="B230"/>
    </row>
    <row r="231" spans="1:2" x14ac:dyDescent="0.3">
      <c r="A231"/>
      <c r="B231"/>
    </row>
    <row r="232" spans="1:2" x14ac:dyDescent="0.3">
      <c r="A232"/>
      <c r="B232"/>
    </row>
    <row r="233" spans="1:2" x14ac:dyDescent="0.3">
      <c r="A233"/>
      <c r="B233"/>
    </row>
    <row r="234" spans="1:2" x14ac:dyDescent="0.3">
      <c r="A234"/>
      <c r="B234"/>
    </row>
    <row r="235" spans="1:2" x14ac:dyDescent="0.3">
      <c r="A235"/>
      <c r="B235"/>
    </row>
    <row r="236" spans="1:2" x14ac:dyDescent="0.3">
      <c r="A236"/>
      <c r="B236"/>
    </row>
    <row r="237" spans="1:2" x14ac:dyDescent="0.3">
      <c r="A237"/>
      <c r="B237"/>
    </row>
    <row r="238" spans="1:2" x14ac:dyDescent="0.3">
      <c r="A238"/>
      <c r="B238"/>
    </row>
    <row r="239" spans="1:2" x14ac:dyDescent="0.3">
      <c r="A239"/>
      <c r="B239"/>
    </row>
    <row r="240" spans="1:2" x14ac:dyDescent="0.3">
      <c r="A240"/>
      <c r="B240"/>
    </row>
    <row r="241" spans="1:2" x14ac:dyDescent="0.3">
      <c r="A241"/>
      <c r="B241"/>
    </row>
    <row r="242" spans="1:2" x14ac:dyDescent="0.3">
      <c r="A242"/>
      <c r="B242"/>
    </row>
    <row r="243" spans="1:2" x14ac:dyDescent="0.3">
      <c r="A243"/>
      <c r="B243"/>
    </row>
    <row r="244" spans="1:2" x14ac:dyDescent="0.3">
      <c r="A244"/>
      <c r="B244"/>
    </row>
    <row r="245" spans="1:2" x14ac:dyDescent="0.3">
      <c r="A245"/>
      <c r="B245"/>
    </row>
    <row r="246" spans="1:2" x14ac:dyDescent="0.3">
      <c r="A246"/>
      <c r="B246"/>
    </row>
    <row r="247" spans="1:2" x14ac:dyDescent="0.3">
      <c r="A247"/>
      <c r="B247"/>
    </row>
    <row r="248" spans="1:2" x14ac:dyDescent="0.3">
      <c r="A248"/>
      <c r="B248"/>
    </row>
    <row r="249" spans="1:2" x14ac:dyDescent="0.3">
      <c r="A249"/>
      <c r="B249"/>
    </row>
    <row r="250" spans="1:2" x14ac:dyDescent="0.3">
      <c r="A250"/>
      <c r="B250"/>
    </row>
    <row r="251" spans="1:2" x14ac:dyDescent="0.3">
      <c r="A251"/>
      <c r="B251"/>
    </row>
    <row r="252" spans="1:2" x14ac:dyDescent="0.3">
      <c r="A252"/>
      <c r="B252"/>
    </row>
    <row r="253" spans="1:2" x14ac:dyDescent="0.3">
      <c r="A253"/>
      <c r="B253"/>
    </row>
    <row r="254" spans="1:2" x14ac:dyDescent="0.3">
      <c r="A254"/>
      <c r="B254"/>
    </row>
    <row r="255" spans="1:2" x14ac:dyDescent="0.3">
      <c r="A255"/>
      <c r="B255"/>
    </row>
    <row r="256" spans="1:2" x14ac:dyDescent="0.3">
      <c r="A256"/>
      <c r="B256"/>
    </row>
    <row r="257" spans="1:2" x14ac:dyDescent="0.3">
      <c r="A257"/>
      <c r="B257"/>
    </row>
    <row r="258" spans="1:2" x14ac:dyDescent="0.3">
      <c r="A258"/>
      <c r="B258"/>
    </row>
    <row r="259" spans="1:2" x14ac:dyDescent="0.3">
      <c r="A259"/>
      <c r="B259"/>
    </row>
    <row r="260" spans="1:2" x14ac:dyDescent="0.3">
      <c r="A260"/>
      <c r="B260"/>
    </row>
    <row r="261" spans="1:2" x14ac:dyDescent="0.3">
      <c r="A261"/>
      <c r="B261"/>
    </row>
    <row r="262" spans="1:2" x14ac:dyDescent="0.3">
      <c r="A262"/>
      <c r="B262"/>
    </row>
    <row r="263" spans="1:2" x14ac:dyDescent="0.3">
      <c r="A263"/>
      <c r="B263"/>
    </row>
    <row r="264" spans="1:2" x14ac:dyDescent="0.3">
      <c r="A264"/>
      <c r="B264"/>
    </row>
    <row r="265" spans="1:2" x14ac:dyDescent="0.3">
      <c r="A265"/>
      <c r="B265"/>
    </row>
    <row r="266" spans="1:2" x14ac:dyDescent="0.3">
      <c r="A266"/>
      <c r="B266"/>
    </row>
    <row r="267" spans="1:2" x14ac:dyDescent="0.3">
      <c r="A267"/>
      <c r="B267"/>
    </row>
    <row r="268" spans="1:2" x14ac:dyDescent="0.3">
      <c r="A268"/>
      <c r="B268"/>
    </row>
    <row r="269" spans="1:2" x14ac:dyDescent="0.3">
      <c r="A269"/>
      <c r="B269"/>
    </row>
    <row r="270" spans="1:2" x14ac:dyDescent="0.3">
      <c r="A270"/>
      <c r="B270"/>
    </row>
    <row r="271" spans="1:2" x14ac:dyDescent="0.3">
      <c r="A271"/>
      <c r="B271"/>
    </row>
    <row r="272" spans="1:2" x14ac:dyDescent="0.3">
      <c r="A272"/>
      <c r="B272"/>
    </row>
    <row r="273" spans="1:2" x14ac:dyDescent="0.3">
      <c r="A273"/>
      <c r="B273"/>
    </row>
    <row r="274" spans="1:2" x14ac:dyDescent="0.3">
      <c r="A274"/>
      <c r="B274"/>
    </row>
    <row r="275" spans="1:2" x14ac:dyDescent="0.3">
      <c r="A275"/>
      <c r="B275"/>
    </row>
    <row r="276" spans="1:2" x14ac:dyDescent="0.3">
      <c r="A276"/>
      <c r="B276"/>
    </row>
    <row r="277" spans="1:2" x14ac:dyDescent="0.3">
      <c r="A277"/>
      <c r="B277"/>
    </row>
    <row r="278" spans="1:2" x14ac:dyDescent="0.3">
      <c r="A278"/>
      <c r="B278"/>
    </row>
    <row r="279" spans="1:2" x14ac:dyDescent="0.3">
      <c r="A279"/>
      <c r="B279"/>
    </row>
    <row r="280" spans="1:2" x14ac:dyDescent="0.3">
      <c r="A280"/>
      <c r="B280"/>
    </row>
    <row r="281" spans="1:2" x14ac:dyDescent="0.3">
      <c r="A281"/>
      <c r="B281"/>
    </row>
    <row r="282" spans="1:2" x14ac:dyDescent="0.3">
      <c r="A282"/>
      <c r="B282"/>
    </row>
    <row r="283" spans="1:2" x14ac:dyDescent="0.3">
      <c r="A283"/>
      <c r="B283"/>
    </row>
    <row r="284" spans="1:2" x14ac:dyDescent="0.3">
      <c r="A284"/>
      <c r="B284"/>
    </row>
    <row r="285" spans="1:2" x14ac:dyDescent="0.3">
      <c r="A285"/>
      <c r="B285"/>
    </row>
    <row r="286" spans="1:2" x14ac:dyDescent="0.3">
      <c r="A286"/>
      <c r="B286"/>
    </row>
    <row r="287" spans="1:2" x14ac:dyDescent="0.3">
      <c r="A287"/>
      <c r="B287"/>
    </row>
    <row r="288" spans="1:2" x14ac:dyDescent="0.3">
      <c r="A288"/>
      <c r="B288"/>
    </row>
    <row r="289" spans="1:2" x14ac:dyDescent="0.3">
      <c r="A289"/>
      <c r="B289"/>
    </row>
    <row r="290" spans="1:2" x14ac:dyDescent="0.3">
      <c r="A290"/>
      <c r="B290"/>
    </row>
    <row r="291" spans="1:2" x14ac:dyDescent="0.3">
      <c r="A291"/>
      <c r="B291"/>
    </row>
    <row r="292" spans="1:2" x14ac:dyDescent="0.3">
      <c r="A292"/>
      <c r="B292"/>
    </row>
    <row r="293" spans="1:2" x14ac:dyDescent="0.3">
      <c r="A293"/>
      <c r="B293"/>
    </row>
    <row r="294" spans="1:2" x14ac:dyDescent="0.3">
      <c r="A294"/>
      <c r="B294"/>
    </row>
    <row r="295" spans="1:2" x14ac:dyDescent="0.3">
      <c r="A295"/>
      <c r="B295"/>
    </row>
    <row r="296" spans="1:2" x14ac:dyDescent="0.3">
      <c r="A296"/>
      <c r="B296"/>
    </row>
    <row r="297" spans="1:2" x14ac:dyDescent="0.3">
      <c r="A297"/>
      <c r="B297"/>
    </row>
    <row r="298" spans="1:2" x14ac:dyDescent="0.3">
      <c r="A298"/>
      <c r="B298"/>
    </row>
    <row r="299" spans="1:2" x14ac:dyDescent="0.3">
      <c r="A299"/>
      <c r="B299"/>
    </row>
    <row r="300" spans="1:2" x14ac:dyDescent="0.3">
      <c r="A300"/>
      <c r="B300"/>
    </row>
    <row r="301" spans="1:2" x14ac:dyDescent="0.3">
      <c r="A301"/>
      <c r="B301"/>
    </row>
    <row r="302" spans="1:2" x14ac:dyDescent="0.3">
      <c r="A302"/>
      <c r="B302"/>
    </row>
    <row r="303" spans="1:2" x14ac:dyDescent="0.3">
      <c r="A303"/>
      <c r="B303"/>
    </row>
    <row r="304" spans="1:2" x14ac:dyDescent="0.3">
      <c r="A304"/>
      <c r="B304"/>
    </row>
    <row r="305" spans="1:2" x14ac:dyDescent="0.3">
      <c r="A305"/>
      <c r="B305"/>
    </row>
    <row r="306" spans="1:2" x14ac:dyDescent="0.3">
      <c r="A306"/>
      <c r="B306"/>
    </row>
    <row r="307" spans="1:2" x14ac:dyDescent="0.3">
      <c r="A307"/>
      <c r="B307"/>
    </row>
    <row r="308" spans="1:2" x14ac:dyDescent="0.3">
      <c r="A308"/>
      <c r="B308"/>
    </row>
    <row r="309" spans="1:2" x14ac:dyDescent="0.3">
      <c r="A309"/>
      <c r="B309"/>
    </row>
    <row r="310" spans="1:2" x14ac:dyDescent="0.3">
      <c r="A310"/>
      <c r="B310"/>
    </row>
    <row r="311" spans="1:2" x14ac:dyDescent="0.3">
      <c r="A311"/>
      <c r="B311"/>
    </row>
    <row r="312" spans="1:2" x14ac:dyDescent="0.3">
      <c r="A312"/>
      <c r="B312"/>
    </row>
    <row r="313" spans="1:2" x14ac:dyDescent="0.3">
      <c r="A313"/>
      <c r="B313"/>
    </row>
    <row r="314" spans="1:2" x14ac:dyDescent="0.3">
      <c r="A314"/>
      <c r="B314"/>
    </row>
    <row r="315" spans="1:2" x14ac:dyDescent="0.3">
      <c r="A315"/>
      <c r="B315"/>
    </row>
    <row r="316" spans="1:2" x14ac:dyDescent="0.3">
      <c r="A316"/>
      <c r="B316"/>
    </row>
    <row r="317" spans="1:2" x14ac:dyDescent="0.3">
      <c r="A317"/>
      <c r="B317"/>
    </row>
    <row r="318" spans="1:2" x14ac:dyDescent="0.3">
      <c r="A318"/>
      <c r="B318"/>
    </row>
    <row r="319" spans="1:2" x14ac:dyDescent="0.3">
      <c r="A319"/>
      <c r="B319"/>
    </row>
    <row r="320" spans="1:2" x14ac:dyDescent="0.3">
      <c r="A320"/>
      <c r="B320"/>
    </row>
    <row r="321" spans="1:2" x14ac:dyDescent="0.3">
      <c r="A321"/>
      <c r="B321"/>
    </row>
    <row r="322" spans="1:2" x14ac:dyDescent="0.3">
      <c r="A322"/>
      <c r="B322"/>
    </row>
    <row r="323" spans="1:2" x14ac:dyDescent="0.3">
      <c r="A323"/>
      <c r="B323"/>
    </row>
    <row r="324" spans="1:2" x14ac:dyDescent="0.3">
      <c r="A324"/>
      <c r="B324"/>
    </row>
    <row r="325" spans="1:2" x14ac:dyDescent="0.3">
      <c r="A325"/>
      <c r="B325"/>
    </row>
    <row r="326" spans="1:2" x14ac:dyDescent="0.3">
      <c r="A326"/>
      <c r="B326"/>
    </row>
    <row r="327" spans="1:2" x14ac:dyDescent="0.3">
      <c r="A327"/>
      <c r="B327"/>
    </row>
    <row r="328" spans="1:2" x14ac:dyDescent="0.3">
      <c r="A328"/>
      <c r="B328"/>
    </row>
    <row r="329" spans="1:2" x14ac:dyDescent="0.3">
      <c r="A329"/>
      <c r="B329"/>
    </row>
    <row r="330" spans="1:2" x14ac:dyDescent="0.3">
      <c r="A330"/>
      <c r="B330"/>
    </row>
    <row r="331" spans="1:2" x14ac:dyDescent="0.3">
      <c r="A331"/>
      <c r="B331"/>
    </row>
    <row r="332" spans="1:2" x14ac:dyDescent="0.3">
      <c r="A332"/>
      <c r="B332"/>
    </row>
    <row r="333" spans="1:2" x14ac:dyDescent="0.3">
      <c r="A333"/>
      <c r="B333"/>
    </row>
    <row r="334" spans="1:2" x14ac:dyDescent="0.3">
      <c r="A334"/>
      <c r="B334"/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D3B25-B084-4760-B91E-5B89F06D368B}">
  <sheetPr codeName="Planilha13"/>
  <dimension ref="A1:C279"/>
  <sheetViews>
    <sheetView showGridLines="0" showRowColHeaders="0" workbookViewId="0">
      <selection activeCell="E39" sqref="E39"/>
    </sheetView>
  </sheetViews>
  <sheetFormatPr defaultRowHeight="14.4" x14ac:dyDescent="0.3"/>
  <cols>
    <col min="1" max="1" width="19" customWidth="1"/>
    <col min="2" max="2" width="49" bestFit="1" customWidth="1"/>
    <col min="3" max="3" width="12.21875" customWidth="1"/>
  </cols>
  <sheetData>
    <row r="1" spans="1:3" x14ac:dyDescent="0.3">
      <c r="B1" s="29" t="s">
        <v>364</v>
      </c>
      <c r="C1" s="33" t="s">
        <v>365</v>
      </c>
    </row>
    <row r="2" spans="1:3" x14ac:dyDescent="0.3">
      <c r="A2" s="3"/>
      <c r="B2" t="s">
        <v>96</v>
      </c>
      <c r="C2" s="23" t="s">
        <v>80</v>
      </c>
    </row>
    <row r="3" spans="1:3" x14ac:dyDescent="0.3">
      <c r="A3" s="3"/>
      <c r="B3" t="s">
        <v>14</v>
      </c>
      <c r="C3" s="23" t="s">
        <v>80</v>
      </c>
    </row>
    <row r="4" spans="1:3" x14ac:dyDescent="0.3">
      <c r="A4" s="3"/>
      <c r="B4" t="s">
        <v>36</v>
      </c>
      <c r="C4" s="23" t="s">
        <v>80</v>
      </c>
    </row>
    <row r="5" spans="1:3" x14ac:dyDescent="0.3">
      <c r="A5" s="3"/>
      <c r="B5" t="s">
        <v>37</v>
      </c>
      <c r="C5" s="23" t="s">
        <v>80</v>
      </c>
    </row>
    <row r="6" spans="1:3" x14ac:dyDescent="0.3">
      <c r="A6" s="3"/>
      <c r="B6" t="s">
        <v>97</v>
      </c>
      <c r="C6" s="23" t="s">
        <v>80</v>
      </c>
    </row>
    <row r="7" spans="1:3" x14ac:dyDescent="0.3">
      <c r="A7" s="3"/>
      <c r="B7" t="s">
        <v>32</v>
      </c>
      <c r="C7" s="23" t="s">
        <v>80</v>
      </c>
    </row>
    <row r="8" spans="1:3" x14ac:dyDescent="0.3">
      <c r="A8" s="3"/>
      <c r="B8" t="s">
        <v>98</v>
      </c>
      <c r="C8" s="23" t="s">
        <v>80</v>
      </c>
    </row>
    <row r="9" spans="1:3" x14ac:dyDescent="0.3">
      <c r="A9" s="3"/>
      <c r="B9" t="s">
        <v>64</v>
      </c>
      <c r="C9" s="23" t="s">
        <v>80</v>
      </c>
    </row>
    <row r="10" spans="1:3" x14ac:dyDescent="0.3">
      <c r="B10" t="s">
        <v>33</v>
      </c>
      <c r="C10" s="23" t="s">
        <v>80</v>
      </c>
    </row>
    <row r="11" spans="1:3" x14ac:dyDescent="0.3">
      <c r="B11" t="s">
        <v>38</v>
      </c>
      <c r="C11" s="23" t="s">
        <v>80</v>
      </c>
    </row>
    <row r="12" spans="1:3" x14ac:dyDescent="0.3">
      <c r="B12" t="s">
        <v>34</v>
      </c>
      <c r="C12" s="23" t="s">
        <v>80</v>
      </c>
    </row>
    <row r="13" spans="1:3" x14ac:dyDescent="0.3">
      <c r="B13" t="s">
        <v>6</v>
      </c>
      <c r="C13" s="23" t="s">
        <v>80</v>
      </c>
    </row>
    <row r="14" spans="1:3" x14ac:dyDescent="0.3">
      <c r="B14" t="s">
        <v>46</v>
      </c>
      <c r="C14" s="23" t="s">
        <v>80</v>
      </c>
    </row>
    <row r="15" spans="1:3" x14ac:dyDescent="0.3">
      <c r="B15" t="s">
        <v>39</v>
      </c>
      <c r="C15" s="23" t="s">
        <v>80</v>
      </c>
    </row>
    <row r="16" spans="1:3" x14ac:dyDescent="0.3">
      <c r="B16" t="s">
        <v>35</v>
      </c>
      <c r="C16" s="23" t="s">
        <v>80</v>
      </c>
    </row>
    <row r="17" spans="2:3" x14ac:dyDescent="0.3">
      <c r="B17" t="s">
        <v>49</v>
      </c>
      <c r="C17" s="23" t="s">
        <v>80</v>
      </c>
    </row>
    <row r="18" spans="2:3" x14ac:dyDescent="0.3">
      <c r="B18" t="s">
        <v>59</v>
      </c>
      <c r="C18" s="23" t="s">
        <v>80</v>
      </c>
    </row>
    <row r="19" spans="2:3" x14ac:dyDescent="0.3">
      <c r="B19" t="s">
        <v>40</v>
      </c>
      <c r="C19" s="23" t="s">
        <v>80</v>
      </c>
    </row>
    <row r="20" spans="2:3" x14ac:dyDescent="0.3">
      <c r="B20" t="s">
        <v>20</v>
      </c>
      <c r="C20" s="23" t="s">
        <v>80</v>
      </c>
    </row>
    <row r="21" spans="2:3" x14ac:dyDescent="0.3">
      <c r="B21" t="s">
        <v>115</v>
      </c>
      <c r="C21" s="23" t="s">
        <v>356</v>
      </c>
    </row>
    <row r="22" spans="2:3" x14ac:dyDescent="0.3">
      <c r="B22" t="s">
        <v>314</v>
      </c>
      <c r="C22" s="23" t="s">
        <v>356</v>
      </c>
    </row>
    <row r="23" spans="2:3" x14ac:dyDescent="0.3">
      <c r="B23" t="s">
        <v>120</v>
      </c>
      <c r="C23" s="23" t="s">
        <v>356</v>
      </c>
    </row>
    <row r="24" spans="2:3" x14ac:dyDescent="0.3">
      <c r="B24" t="s">
        <v>222</v>
      </c>
      <c r="C24" s="23" t="s">
        <v>356</v>
      </c>
    </row>
    <row r="25" spans="2:3" x14ac:dyDescent="0.3">
      <c r="B25" t="s">
        <v>297</v>
      </c>
      <c r="C25" s="23" t="s">
        <v>356</v>
      </c>
    </row>
    <row r="26" spans="2:3" x14ac:dyDescent="0.3">
      <c r="B26" t="s">
        <v>129</v>
      </c>
      <c r="C26" s="23" t="s">
        <v>356</v>
      </c>
    </row>
    <row r="27" spans="2:3" x14ac:dyDescent="0.3">
      <c r="B27" t="s">
        <v>126</v>
      </c>
      <c r="C27" s="23" t="s">
        <v>356</v>
      </c>
    </row>
    <row r="28" spans="2:3" x14ac:dyDescent="0.3">
      <c r="B28" t="s">
        <v>134</v>
      </c>
      <c r="C28" s="23" t="s">
        <v>356</v>
      </c>
    </row>
    <row r="29" spans="2:3" x14ac:dyDescent="0.3">
      <c r="B29" t="s">
        <v>141</v>
      </c>
      <c r="C29" s="23" t="s">
        <v>356</v>
      </c>
    </row>
    <row r="30" spans="2:3" x14ac:dyDescent="0.3">
      <c r="B30" t="s">
        <v>311</v>
      </c>
      <c r="C30" s="23" t="s">
        <v>356</v>
      </c>
    </row>
    <row r="31" spans="2:3" x14ac:dyDescent="0.3">
      <c r="B31" t="s">
        <v>326</v>
      </c>
      <c r="C31" s="23" t="s">
        <v>356</v>
      </c>
    </row>
    <row r="32" spans="2:3" x14ac:dyDescent="0.3">
      <c r="B32" t="s">
        <v>142</v>
      </c>
      <c r="C32" s="23" t="s">
        <v>356</v>
      </c>
    </row>
    <row r="33" spans="2:3" x14ac:dyDescent="0.3">
      <c r="B33" t="s">
        <v>276</v>
      </c>
      <c r="C33" s="23" t="s">
        <v>356</v>
      </c>
    </row>
    <row r="34" spans="2:3" x14ac:dyDescent="0.3">
      <c r="B34" t="s">
        <v>336</v>
      </c>
      <c r="C34" s="23" t="s">
        <v>356</v>
      </c>
    </row>
    <row r="35" spans="2:3" x14ac:dyDescent="0.3">
      <c r="B35" t="s">
        <v>203</v>
      </c>
      <c r="C35" s="23" t="s">
        <v>356</v>
      </c>
    </row>
    <row r="36" spans="2:3" x14ac:dyDescent="0.3">
      <c r="B36" t="s">
        <v>139</v>
      </c>
      <c r="C36" s="23" t="s">
        <v>356</v>
      </c>
    </row>
    <row r="37" spans="2:3" x14ac:dyDescent="0.3">
      <c r="B37" t="s">
        <v>219</v>
      </c>
      <c r="C37" s="23" t="s">
        <v>356</v>
      </c>
    </row>
    <row r="38" spans="2:3" x14ac:dyDescent="0.3">
      <c r="B38" t="s">
        <v>100</v>
      </c>
      <c r="C38" s="23" t="s">
        <v>356</v>
      </c>
    </row>
    <row r="39" spans="2:3" x14ac:dyDescent="0.3">
      <c r="B39" t="s">
        <v>145</v>
      </c>
      <c r="C39" s="23" t="s">
        <v>356</v>
      </c>
    </row>
    <row r="40" spans="2:3" x14ac:dyDescent="0.3">
      <c r="B40" t="s">
        <v>319</v>
      </c>
      <c r="C40" s="23" t="s">
        <v>356</v>
      </c>
    </row>
    <row r="41" spans="2:3" x14ac:dyDescent="0.3">
      <c r="B41" t="s">
        <v>146</v>
      </c>
      <c r="C41" s="23" t="s">
        <v>356</v>
      </c>
    </row>
    <row r="42" spans="2:3" x14ac:dyDescent="0.3">
      <c r="B42" t="s">
        <v>130</v>
      </c>
      <c r="C42" s="23" t="s">
        <v>356</v>
      </c>
    </row>
    <row r="43" spans="2:3" x14ac:dyDescent="0.3">
      <c r="B43" t="s">
        <v>268</v>
      </c>
      <c r="C43" s="23" t="s">
        <v>356</v>
      </c>
    </row>
    <row r="44" spans="2:3" x14ac:dyDescent="0.3">
      <c r="B44" t="s">
        <v>136</v>
      </c>
      <c r="C44" s="23" t="s">
        <v>356</v>
      </c>
    </row>
    <row r="45" spans="2:3" x14ac:dyDescent="0.3">
      <c r="B45" t="s">
        <v>110</v>
      </c>
      <c r="C45" s="23" t="s">
        <v>356</v>
      </c>
    </row>
    <row r="46" spans="2:3" x14ac:dyDescent="0.3">
      <c r="B46" t="s">
        <v>217</v>
      </c>
      <c r="C46" s="23" t="s">
        <v>356</v>
      </c>
    </row>
    <row r="47" spans="2:3" x14ac:dyDescent="0.3">
      <c r="B47" t="s">
        <v>287</v>
      </c>
      <c r="C47" s="23" t="s">
        <v>356</v>
      </c>
    </row>
    <row r="48" spans="2:3" x14ac:dyDescent="0.3">
      <c r="B48" t="s">
        <v>312</v>
      </c>
      <c r="C48" s="23" t="s">
        <v>356</v>
      </c>
    </row>
    <row r="49" spans="2:3" x14ac:dyDescent="0.3">
      <c r="B49" t="s">
        <v>309</v>
      </c>
      <c r="C49" s="23" t="s">
        <v>356</v>
      </c>
    </row>
    <row r="50" spans="2:3" x14ac:dyDescent="0.3">
      <c r="B50" t="s">
        <v>273</v>
      </c>
      <c r="C50" s="23" t="s">
        <v>356</v>
      </c>
    </row>
    <row r="51" spans="2:3" x14ac:dyDescent="0.3">
      <c r="B51" t="s">
        <v>317</v>
      </c>
      <c r="C51" s="23" t="s">
        <v>356</v>
      </c>
    </row>
    <row r="52" spans="2:3" x14ac:dyDescent="0.3">
      <c r="B52" t="s">
        <v>333</v>
      </c>
      <c r="C52" s="23" t="s">
        <v>356</v>
      </c>
    </row>
    <row r="53" spans="2:3" x14ac:dyDescent="0.3">
      <c r="B53" t="s">
        <v>271</v>
      </c>
      <c r="C53" s="23" t="s">
        <v>356</v>
      </c>
    </row>
    <row r="54" spans="2:3" x14ac:dyDescent="0.3">
      <c r="B54" t="s">
        <v>323</v>
      </c>
      <c r="C54" s="23" t="s">
        <v>356</v>
      </c>
    </row>
    <row r="55" spans="2:3" x14ac:dyDescent="0.3">
      <c r="B55" t="s">
        <v>288</v>
      </c>
      <c r="C55" s="23" t="s">
        <v>356</v>
      </c>
    </row>
    <row r="56" spans="2:3" x14ac:dyDescent="0.3">
      <c r="B56" t="s">
        <v>322</v>
      </c>
      <c r="C56" s="23" t="s">
        <v>356</v>
      </c>
    </row>
    <row r="57" spans="2:3" x14ac:dyDescent="0.3">
      <c r="B57" t="s">
        <v>230</v>
      </c>
      <c r="C57" s="23" t="s">
        <v>356</v>
      </c>
    </row>
    <row r="58" spans="2:3" x14ac:dyDescent="0.3">
      <c r="B58" t="s">
        <v>214</v>
      </c>
      <c r="C58" s="23" t="s">
        <v>356</v>
      </c>
    </row>
    <row r="59" spans="2:3" x14ac:dyDescent="0.3">
      <c r="B59" t="s">
        <v>246</v>
      </c>
      <c r="C59" s="23" t="s">
        <v>356</v>
      </c>
    </row>
    <row r="60" spans="2:3" x14ac:dyDescent="0.3">
      <c r="B60" t="s">
        <v>239</v>
      </c>
      <c r="C60" s="23" t="s">
        <v>356</v>
      </c>
    </row>
    <row r="61" spans="2:3" x14ac:dyDescent="0.3">
      <c r="B61" t="s">
        <v>149</v>
      </c>
      <c r="C61" s="23" t="s">
        <v>356</v>
      </c>
    </row>
    <row r="62" spans="2:3" x14ac:dyDescent="0.3">
      <c r="B62" t="s">
        <v>155</v>
      </c>
      <c r="C62" s="23" t="s">
        <v>356</v>
      </c>
    </row>
    <row r="63" spans="2:3" x14ac:dyDescent="0.3">
      <c r="B63" t="s">
        <v>156</v>
      </c>
      <c r="C63" s="23" t="s">
        <v>356</v>
      </c>
    </row>
    <row r="64" spans="2:3" x14ac:dyDescent="0.3">
      <c r="B64" t="s">
        <v>164</v>
      </c>
      <c r="C64" s="23" t="s">
        <v>356</v>
      </c>
    </row>
    <row r="65" spans="2:3" x14ac:dyDescent="0.3">
      <c r="B65" t="s">
        <v>328</v>
      </c>
      <c r="C65" s="23" t="s">
        <v>356</v>
      </c>
    </row>
    <row r="66" spans="2:3" x14ac:dyDescent="0.3">
      <c r="B66" t="s">
        <v>346</v>
      </c>
      <c r="C66" s="23" t="s">
        <v>356</v>
      </c>
    </row>
    <row r="67" spans="2:3" x14ac:dyDescent="0.3">
      <c r="B67" t="s">
        <v>355</v>
      </c>
      <c r="C67" s="23" t="s">
        <v>356</v>
      </c>
    </row>
    <row r="68" spans="2:3" x14ac:dyDescent="0.3">
      <c r="B68" t="s">
        <v>158</v>
      </c>
      <c r="C68" s="23" t="s">
        <v>356</v>
      </c>
    </row>
    <row r="69" spans="2:3" x14ac:dyDescent="0.3">
      <c r="B69" t="s">
        <v>291</v>
      </c>
      <c r="C69" s="23" t="s">
        <v>356</v>
      </c>
    </row>
    <row r="70" spans="2:3" x14ac:dyDescent="0.3">
      <c r="B70" t="s">
        <v>266</v>
      </c>
      <c r="C70" s="23" t="s">
        <v>356</v>
      </c>
    </row>
    <row r="71" spans="2:3" x14ac:dyDescent="0.3">
      <c r="B71" t="s">
        <v>272</v>
      </c>
      <c r="C71" s="23" t="s">
        <v>356</v>
      </c>
    </row>
    <row r="72" spans="2:3" x14ac:dyDescent="0.3">
      <c r="B72" t="s">
        <v>343</v>
      </c>
      <c r="C72" s="23" t="s">
        <v>356</v>
      </c>
    </row>
    <row r="73" spans="2:3" x14ac:dyDescent="0.3">
      <c r="B73" t="s">
        <v>210</v>
      </c>
      <c r="C73" s="23" t="s">
        <v>356</v>
      </c>
    </row>
    <row r="74" spans="2:3" x14ac:dyDescent="0.3">
      <c r="B74" t="s">
        <v>166</v>
      </c>
      <c r="C74" s="23" t="s">
        <v>356</v>
      </c>
    </row>
    <row r="75" spans="2:3" x14ac:dyDescent="0.3">
      <c r="B75" t="s">
        <v>284</v>
      </c>
      <c r="C75" s="23" t="s">
        <v>356</v>
      </c>
    </row>
    <row r="76" spans="2:3" x14ac:dyDescent="0.3">
      <c r="B76" t="s">
        <v>167</v>
      </c>
      <c r="C76" s="23" t="s">
        <v>356</v>
      </c>
    </row>
    <row r="77" spans="2:3" x14ac:dyDescent="0.3">
      <c r="B77" t="s">
        <v>168</v>
      </c>
      <c r="C77" s="23" t="s">
        <v>356</v>
      </c>
    </row>
    <row r="78" spans="2:3" x14ac:dyDescent="0.3">
      <c r="B78" t="s">
        <v>102</v>
      </c>
      <c r="C78" s="23" t="s">
        <v>356</v>
      </c>
    </row>
    <row r="79" spans="2:3" x14ac:dyDescent="0.3">
      <c r="B79" t="s">
        <v>299</v>
      </c>
      <c r="C79" s="23" t="s">
        <v>356</v>
      </c>
    </row>
    <row r="80" spans="2:3" x14ac:dyDescent="0.3">
      <c r="B80" t="s">
        <v>117</v>
      </c>
      <c r="C80" s="23" t="s">
        <v>356</v>
      </c>
    </row>
    <row r="81" spans="2:3" x14ac:dyDescent="0.3">
      <c r="B81" t="s">
        <v>116</v>
      </c>
      <c r="C81" s="23" t="s">
        <v>356</v>
      </c>
    </row>
    <row r="82" spans="2:3" x14ac:dyDescent="0.3">
      <c r="B82" t="s">
        <v>351</v>
      </c>
      <c r="C82" s="23" t="s">
        <v>356</v>
      </c>
    </row>
    <row r="83" spans="2:3" x14ac:dyDescent="0.3">
      <c r="B83" t="s">
        <v>169</v>
      </c>
      <c r="C83" s="23" t="s">
        <v>356</v>
      </c>
    </row>
    <row r="84" spans="2:3" x14ac:dyDescent="0.3">
      <c r="B84" t="s">
        <v>367</v>
      </c>
      <c r="C84" s="23" t="s">
        <v>356</v>
      </c>
    </row>
    <row r="85" spans="2:3" x14ac:dyDescent="0.3">
      <c r="B85" t="s">
        <v>368</v>
      </c>
      <c r="C85" s="23" t="s">
        <v>356</v>
      </c>
    </row>
    <row r="86" spans="2:3" x14ac:dyDescent="0.3">
      <c r="B86" t="s">
        <v>269</v>
      </c>
      <c r="C86" s="23" t="s">
        <v>356</v>
      </c>
    </row>
    <row r="87" spans="2:3" x14ac:dyDescent="0.3">
      <c r="B87" t="s">
        <v>200</v>
      </c>
      <c r="C87" s="23" t="s">
        <v>356</v>
      </c>
    </row>
    <row r="88" spans="2:3" x14ac:dyDescent="0.3">
      <c r="B88" t="s">
        <v>353</v>
      </c>
      <c r="C88" s="23" t="s">
        <v>356</v>
      </c>
    </row>
    <row r="89" spans="2:3" x14ac:dyDescent="0.3">
      <c r="B89" t="s">
        <v>215</v>
      </c>
      <c r="C89" s="23" t="s">
        <v>356</v>
      </c>
    </row>
    <row r="90" spans="2:3" x14ac:dyDescent="0.3">
      <c r="B90" t="s">
        <v>327</v>
      </c>
      <c r="C90" s="23" t="s">
        <v>356</v>
      </c>
    </row>
    <row r="91" spans="2:3" x14ac:dyDescent="0.3">
      <c r="B91" t="s">
        <v>170</v>
      </c>
      <c r="C91" s="23" t="s">
        <v>356</v>
      </c>
    </row>
    <row r="92" spans="2:3" x14ac:dyDescent="0.3">
      <c r="B92" t="s">
        <v>211</v>
      </c>
      <c r="C92" s="23" t="s">
        <v>356</v>
      </c>
    </row>
    <row r="93" spans="2:3" x14ac:dyDescent="0.3">
      <c r="B93" t="s">
        <v>244</v>
      </c>
      <c r="C93" s="23" t="s">
        <v>356</v>
      </c>
    </row>
    <row r="94" spans="2:3" x14ac:dyDescent="0.3">
      <c r="B94" t="s">
        <v>318</v>
      </c>
      <c r="C94" s="23" t="s">
        <v>356</v>
      </c>
    </row>
    <row r="95" spans="2:3" x14ac:dyDescent="0.3">
      <c r="B95" t="s">
        <v>259</v>
      </c>
      <c r="C95" s="23" t="s">
        <v>356</v>
      </c>
    </row>
    <row r="96" spans="2:3" x14ac:dyDescent="0.3">
      <c r="B96" t="s">
        <v>240</v>
      </c>
      <c r="C96" s="23" t="s">
        <v>356</v>
      </c>
    </row>
    <row r="97" spans="2:3" x14ac:dyDescent="0.3">
      <c r="B97" t="s">
        <v>332</v>
      </c>
      <c r="C97" s="23" t="s">
        <v>356</v>
      </c>
    </row>
    <row r="98" spans="2:3" x14ac:dyDescent="0.3">
      <c r="B98" t="s">
        <v>147</v>
      </c>
      <c r="C98" s="23" t="s">
        <v>356</v>
      </c>
    </row>
    <row r="99" spans="2:3" x14ac:dyDescent="0.3">
      <c r="B99" t="s">
        <v>178</v>
      </c>
      <c r="C99" s="23" t="s">
        <v>356</v>
      </c>
    </row>
    <row r="100" spans="2:3" x14ac:dyDescent="0.3">
      <c r="B100" t="s">
        <v>352</v>
      </c>
      <c r="C100" s="23" t="s">
        <v>356</v>
      </c>
    </row>
    <row r="101" spans="2:3" x14ac:dyDescent="0.3">
      <c r="B101" t="s">
        <v>107</v>
      </c>
      <c r="C101" s="23" t="s">
        <v>356</v>
      </c>
    </row>
    <row r="102" spans="2:3" x14ac:dyDescent="0.3">
      <c r="B102" t="s">
        <v>171</v>
      </c>
      <c r="C102" s="23" t="s">
        <v>356</v>
      </c>
    </row>
    <row r="103" spans="2:3" x14ac:dyDescent="0.3">
      <c r="B103" t="s">
        <v>227</v>
      </c>
      <c r="C103" s="23" t="s">
        <v>356</v>
      </c>
    </row>
    <row r="104" spans="2:3" x14ac:dyDescent="0.3">
      <c r="B104" t="s">
        <v>278</v>
      </c>
      <c r="C104" s="23" t="s">
        <v>356</v>
      </c>
    </row>
    <row r="105" spans="2:3" x14ac:dyDescent="0.3">
      <c r="B105" t="s">
        <v>109</v>
      </c>
      <c r="C105" s="23" t="s">
        <v>356</v>
      </c>
    </row>
    <row r="106" spans="2:3" x14ac:dyDescent="0.3">
      <c r="B106" t="s">
        <v>234</v>
      </c>
      <c r="C106" s="23" t="s">
        <v>356</v>
      </c>
    </row>
    <row r="107" spans="2:3" x14ac:dyDescent="0.3">
      <c r="B107" t="s">
        <v>108</v>
      </c>
      <c r="C107" s="23" t="s">
        <v>356</v>
      </c>
    </row>
    <row r="108" spans="2:3" x14ac:dyDescent="0.3">
      <c r="B108" t="s">
        <v>252</v>
      </c>
      <c r="C108" s="23" t="s">
        <v>356</v>
      </c>
    </row>
    <row r="109" spans="2:3" x14ac:dyDescent="0.3">
      <c r="B109" t="s">
        <v>286</v>
      </c>
      <c r="C109" s="23" t="s">
        <v>356</v>
      </c>
    </row>
    <row r="110" spans="2:3" x14ac:dyDescent="0.3">
      <c r="B110" t="s">
        <v>257</v>
      </c>
      <c r="C110" s="23" t="s">
        <v>356</v>
      </c>
    </row>
    <row r="111" spans="2:3" x14ac:dyDescent="0.3">
      <c r="B111" t="s">
        <v>172</v>
      </c>
      <c r="C111" s="23" t="s">
        <v>356</v>
      </c>
    </row>
    <row r="112" spans="2:3" x14ac:dyDescent="0.3">
      <c r="B112" t="s">
        <v>265</v>
      </c>
      <c r="C112" s="23" t="s">
        <v>356</v>
      </c>
    </row>
    <row r="113" spans="2:3" x14ac:dyDescent="0.3">
      <c r="B113" t="s">
        <v>173</v>
      </c>
      <c r="C113" s="23" t="s">
        <v>356</v>
      </c>
    </row>
    <row r="114" spans="2:3" x14ac:dyDescent="0.3">
      <c r="B114" t="s">
        <v>119</v>
      </c>
      <c r="C114" s="23" t="s">
        <v>356</v>
      </c>
    </row>
    <row r="115" spans="2:3" x14ac:dyDescent="0.3">
      <c r="B115" t="s">
        <v>133</v>
      </c>
      <c r="C115" s="23" t="s">
        <v>356</v>
      </c>
    </row>
    <row r="116" spans="2:3" x14ac:dyDescent="0.3">
      <c r="B116" t="s">
        <v>174</v>
      </c>
      <c r="C116" s="23" t="s">
        <v>356</v>
      </c>
    </row>
    <row r="117" spans="2:3" x14ac:dyDescent="0.3">
      <c r="B117" t="s">
        <v>256</v>
      </c>
      <c r="C117" s="23" t="s">
        <v>356</v>
      </c>
    </row>
    <row r="118" spans="2:3" x14ac:dyDescent="0.3">
      <c r="B118" t="s">
        <v>308</v>
      </c>
      <c r="C118" s="23" t="s">
        <v>356</v>
      </c>
    </row>
    <row r="119" spans="2:3" x14ac:dyDescent="0.3">
      <c r="B119" t="s">
        <v>175</v>
      </c>
      <c r="C119" s="23" t="s">
        <v>356</v>
      </c>
    </row>
    <row r="120" spans="2:3" x14ac:dyDescent="0.3">
      <c r="B120" t="s">
        <v>176</v>
      </c>
      <c r="C120" s="23" t="s">
        <v>356</v>
      </c>
    </row>
    <row r="121" spans="2:3" x14ac:dyDescent="0.3">
      <c r="B121" t="s">
        <v>157</v>
      </c>
      <c r="C121" s="23" t="s">
        <v>356</v>
      </c>
    </row>
    <row r="122" spans="2:3" x14ac:dyDescent="0.3">
      <c r="B122" t="s">
        <v>162</v>
      </c>
      <c r="C122" s="23" t="s">
        <v>356</v>
      </c>
    </row>
    <row r="123" spans="2:3" x14ac:dyDescent="0.3">
      <c r="B123" t="s">
        <v>247</v>
      </c>
      <c r="C123" s="23" t="s">
        <v>356</v>
      </c>
    </row>
    <row r="124" spans="2:3" x14ac:dyDescent="0.3">
      <c r="B124" t="s">
        <v>303</v>
      </c>
      <c r="C124" s="23" t="s">
        <v>356</v>
      </c>
    </row>
    <row r="125" spans="2:3" x14ac:dyDescent="0.3">
      <c r="B125" t="s">
        <v>111</v>
      </c>
      <c r="C125" s="23" t="s">
        <v>356</v>
      </c>
    </row>
    <row r="126" spans="2:3" x14ac:dyDescent="0.3">
      <c r="B126" t="s">
        <v>301</v>
      </c>
      <c r="C126" s="23" t="s">
        <v>356</v>
      </c>
    </row>
    <row r="127" spans="2:3" x14ac:dyDescent="0.3">
      <c r="B127" t="s">
        <v>112</v>
      </c>
      <c r="C127" s="23" t="s">
        <v>356</v>
      </c>
    </row>
    <row r="128" spans="2:3" x14ac:dyDescent="0.3">
      <c r="B128" t="s">
        <v>177</v>
      </c>
      <c r="C128" s="23" t="s">
        <v>356</v>
      </c>
    </row>
    <row r="129" spans="2:3" x14ac:dyDescent="0.3">
      <c r="B129" t="s">
        <v>221</v>
      </c>
      <c r="C129" s="23" t="s">
        <v>356</v>
      </c>
    </row>
    <row r="130" spans="2:3" x14ac:dyDescent="0.3">
      <c r="B130" t="s">
        <v>179</v>
      </c>
      <c r="C130" s="23" t="s">
        <v>356</v>
      </c>
    </row>
    <row r="131" spans="2:3" x14ac:dyDescent="0.3">
      <c r="B131" t="s">
        <v>369</v>
      </c>
      <c r="C131" s="23" t="s">
        <v>356</v>
      </c>
    </row>
    <row r="132" spans="2:3" x14ac:dyDescent="0.3">
      <c r="B132" t="s">
        <v>180</v>
      </c>
      <c r="C132" s="23" t="s">
        <v>356</v>
      </c>
    </row>
    <row r="133" spans="2:3" x14ac:dyDescent="0.3">
      <c r="B133" t="s">
        <v>335</v>
      </c>
      <c r="C133" s="23" t="s">
        <v>356</v>
      </c>
    </row>
    <row r="134" spans="2:3" x14ac:dyDescent="0.3">
      <c r="B134" t="s">
        <v>218</v>
      </c>
      <c r="C134" s="23" t="s">
        <v>356</v>
      </c>
    </row>
    <row r="135" spans="2:3" x14ac:dyDescent="0.3">
      <c r="B135" t="s">
        <v>127</v>
      </c>
      <c r="C135" s="23" t="s">
        <v>356</v>
      </c>
    </row>
    <row r="136" spans="2:3" x14ac:dyDescent="0.3">
      <c r="B136" t="s">
        <v>181</v>
      </c>
      <c r="C136" s="23" t="s">
        <v>356</v>
      </c>
    </row>
    <row r="137" spans="2:3" x14ac:dyDescent="0.3">
      <c r="B137" t="s">
        <v>295</v>
      </c>
      <c r="C137" s="23" t="s">
        <v>356</v>
      </c>
    </row>
    <row r="138" spans="2:3" x14ac:dyDescent="0.3">
      <c r="B138" t="s">
        <v>236</v>
      </c>
      <c r="C138" s="23" t="s">
        <v>356</v>
      </c>
    </row>
    <row r="139" spans="2:3" x14ac:dyDescent="0.3">
      <c r="B139" t="s">
        <v>128</v>
      </c>
      <c r="C139" s="23" t="s">
        <v>356</v>
      </c>
    </row>
    <row r="140" spans="2:3" x14ac:dyDescent="0.3">
      <c r="B140" t="s">
        <v>253</v>
      </c>
      <c r="C140" s="23" t="s">
        <v>356</v>
      </c>
    </row>
    <row r="141" spans="2:3" x14ac:dyDescent="0.3">
      <c r="B141" t="s">
        <v>182</v>
      </c>
      <c r="C141" s="23" t="s">
        <v>356</v>
      </c>
    </row>
    <row r="142" spans="2:3" x14ac:dyDescent="0.3">
      <c r="B142" t="s">
        <v>183</v>
      </c>
      <c r="C142" s="23" t="s">
        <v>356</v>
      </c>
    </row>
    <row r="143" spans="2:3" x14ac:dyDescent="0.3">
      <c r="B143" t="s">
        <v>104</v>
      </c>
      <c r="C143" s="23" t="s">
        <v>356</v>
      </c>
    </row>
    <row r="144" spans="2:3" x14ac:dyDescent="0.3">
      <c r="B144" t="s">
        <v>338</v>
      </c>
      <c r="C144" s="23" t="s">
        <v>356</v>
      </c>
    </row>
    <row r="145" spans="2:3" x14ac:dyDescent="0.3">
      <c r="B145" t="s">
        <v>250</v>
      </c>
      <c r="C145" s="23" t="s">
        <v>356</v>
      </c>
    </row>
    <row r="146" spans="2:3" x14ac:dyDescent="0.3">
      <c r="B146" t="s">
        <v>277</v>
      </c>
      <c r="C146" s="23" t="s">
        <v>356</v>
      </c>
    </row>
    <row r="147" spans="2:3" x14ac:dyDescent="0.3">
      <c r="B147" t="s">
        <v>300</v>
      </c>
      <c r="C147" s="23" t="s">
        <v>356</v>
      </c>
    </row>
    <row r="148" spans="2:3" x14ac:dyDescent="0.3">
      <c r="B148" t="s">
        <v>137</v>
      </c>
      <c r="C148" s="23" t="s">
        <v>356</v>
      </c>
    </row>
    <row r="149" spans="2:3" x14ac:dyDescent="0.3">
      <c r="B149" t="s">
        <v>123</v>
      </c>
      <c r="C149" s="23" t="s">
        <v>356</v>
      </c>
    </row>
    <row r="150" spans="2:3" x14ac:dyDescent="0.3">
      <c r="B150" t="s">
        <v>232</v>
      </c>
      <c r="C150" s="23" t="s">
        <v>356</v>
      </c>
    </row>
    <row r="151" spans="2:3" x14ac:dyDescent="0.3">
      <c r="B151" t="s">
        <v>131</v>
      </c>
      <c r="C151" s="23" t="s">
        <v>356</v>
      </c>
    </row>
    <row r="152" spans="2:3" x14ac:dyDescent="0.3">
      <c r="B152" t="s">
        <v>223</v>
      </c>
      <c r="C152" s="23" t="s">
        <v>356</v>
      </c>
    </row>
    <row r="153" spans="2:3" x14ac:dyDescent="0.3">
      <c r="B153" t="s">
        <v>238</v>
      </c>
      <c r="C153" s="23" t="s">
        <v>356</v>
      </c>
    </row>
    <row r="154" spans="2:3" x14ac:dyDescent="0.3">
      <c r="B154" t="s">
        <v>262</v>
      </c>
      <c r="C154" s="23" t="s">
        <v>356</v>
      </c>
    </row>
    <row r="155" spans="2:3" x14ac:dyDescent="0.3">
      <c r="B155" t="s">
        <v>138</v>
      </c>
      <c r="C155" s="23" t="s">
        <v>356</v>
      </c>
    </row>
    <row r="156" spans="2:3" x14ac:dyDescent="0.3">
      <c r="B156" t="s">
        <v>235</v>
      </c>
      <c r="C156" s="23" t="s">
        <v>356</v>
      </c>
    </row>
    <row r="157" spans="2:3" x14ac:dyDescent="0.3">
      <c r="B157" t="s">
        <v>220</v>
      </c>
      <c r="C157" s="23" t="s">
        <v>356</v>
      </c>
    </row>
    <row r="158" spans="2:3" x14ac:dyDescent="0.3">
      <c r="B158" t="s">
        <v>114</v>
      </c>
      <c r="C158" s="23" t="s">
        <v>356</v>
      </c>
    </row>
    <row r="159" spans="2:3" x14ac:dyDescent="0.3">
      <c r="B159" t="s">
        <v>245</v>
      </c>
      <c r="C159" s="23" t="s">
        <v>356</v>
      </c>
    </row>
    <row r="160" spans="2:3" x14ac:dyDescent="0.3">
      <c r="B160" t="s">
        <v>224</v>
      </c>
      <c r="C160" s="23" t="s">
        <v>356</v>
      </c>
    </row>
    <row r="161" spans="2:3" x14ac:dyDescent="0.3">
      <c r="B161" t="s">
        <v>348</v>
      </c>
      <c r="C161" s="23" t="s">
        <v>356</v>
      </c>
    </row>
    <row r="162" spans="2:3" x14ac:dyDescent="0.3">
      <c r="B162" t="s">
        <v>233</v>
      </c>
      <c r="C162" s="23" t="s">
        <v>356</v>
      </c>
    </row>
    <row r="163" spans="2:3" x14ac:dyDescent="0.3">
      <c r="B163" t="s">
        <v>251</v>
      </c>
      <c r="C163" s="23" t="s">
        <v>356</v>
      </c>
    </row>
    <row r="164" spans="2:3" x14ac:dyDescent="0.3">
      <c r="B164" t="s">
        <v>184</v>
      </c>
      <c r="C164" s="23" t="s">
        <v>356</v>
      </c>
    </row>
    <row r="165" spans="2:3" x14ac:dyDescent="0.3">
      <c r="B165" t="s">
        <v>334</v>
      </c>
      <c r="C165" s="23" t="s">
        <v>356</v>
      </c>
    </row>
    <row r="166" spans="2:3" x14ac:dyDescent="0.3">
      <c r="B166" t="s">
        <v>330</v>
      </c>
      <c r="C166" s="23" t="s">
        <v>356</v>
      </c>
    </row>
    <row r="167" spans="2:3" x14ac:dyDescent="0.3">
      <c r="B167" t="s">
        <v>160</v>
      </c>
      <c r="C167" s="23" t="s">
        <v>356</v>
      </c>
    </row>
    <row r="168" spans="2:3" x14ac:dyDescent="0.3">
      <c r="B168" t="s">
        <v>258</v>
      </c>
      <c r="C168" s="23" t="s">
        <v>356</v>
      </c>
    </row>
    <row r="169" spans="2:3" x14ac:dyDescent="0.3">
      <c r="B169" t="s">
        <v>185</v>
      </c>
      <c r="C169" s="23" t="s">
        <v>356</v>
      </c>
    </row>
    <row r="170" spans="2:3" x14ac:dyDescent="0.3">
      <c r="B170" t="s">
        <v>344</v>
      </c>
      <c r="C170" s="23" t="s">
        <v>356</v>
      </c>
    </row>
    <row r="171" spans="2:3" x14ac:dyDescent="0.3">
      <c r="B171" t="s">
        <v>144</v>
      </c>
      <c r="C171" s="23" t="s">
        <v>356</v>
      </c>
    </row>
    <row r="172" spans="2:3" x14ac:dyDescent="0.3">
      <c r="B172" t="s">
        <v>205</v>
      </c>
      <c r="C172" s="23" t="s">
        <v>356</v>
      </c>
    </row>
    <row r="173" spans="2:3" x14ac:dyDescent="0.3">
      <c r="B173" t="s">
        <v>213</v>
      </c>
      <c r="C173" s="23" t="s">
        <v>356</v>
      </c>
    </row>
    <row r="174" spans="2:3" x14ac:dyDescent="0.3">
      <c r="B174" t="s">
        <v>260</v>
      </c>
      <c r="C174" s="23" t="s">
        <v>356</v>
      </c>
    </row>
    <row r="175" spans="2:3" x14ac:dyDescent="0.3">
      <c r="B175" t="s">
        <v>337</v>
      </c>
      <c r="C175" s="23" t="s">
        <v>356</v>
      </c>
    </row>
    <row r="176" spans="2:3" x14ac:dyDescent="0.3">
      <c r="B176" t="s">
        <v>347</v>
      </c>
      <c r="C176" s="23" t="s">
        <v>356</v>
      </c>
    </row>
    <row r="177" spans="2:3" x14ac:dyDescent="0.3">
      <c r="B177" t="s">
        <v>125</v>
      </c>
      <c r="C177" s="23" t="s">
        <v>356</v>
      </c>
    </row>
    <row r="178" spans="2:3" x14ac:dyDescent="0.3">
      <c r="B178" t="s">
        <v>163</v>
      </c>
      <c r="C178" s="23" t="s">
        <v>356</v>
      </c>
    </row>
    <row r="179" spans="2:3" x14ac:dyDescent="0.3">
      <c r="B179" t="s">
        <v>150</v>
      </c>
      <c r="C179" s="23" t="s">
        <v>356</v>
      </c>
    </row>
    <row r="180" spans="2:3" x14ac:dyDescent="0.3">
      <c r="B180" t="s">
        <v>209</v>
      </c>
      <c r="C180" s="23" t="s">
        <v>356</v>
      </c>
    </row>
    <row r="181" spans="2:3" x14ac:dyDescent="0.3">
      <c r="B181" t="s">
        <v>316</v>
      </c>
      <c r="C181" s="23" t="s">
        <v>356</v>
      </c>
    </row>
    <row r="182" spans="2:3" x14ac:dyDescent="0.3">
      <c r="B182" t="s">
        <v>196</v>
      </c>
      <c r="C182" s="23" t="s">
        <v>356</v>
      </c>
    </row>
    <row r="183" spans="2:3" x14ac:dyDescent="0.3">
      <c r="B183" t="s">
        <v>153</v>
      </c>
      <c r="C183" s="23" t="s">
        <v>356</v>
      </c>
    </row>
    <row r="184" spans="2:3" x14ac:dyDescent="0.3">
      <c r="B184" t="s">
        <v>310</v>
      </c>
      <c r="C184" s="23" t="s">
        <v>356</v>
      </c>
    </row>
    <row r="185" spans="2:3" x14ac:dyDescent="0.3">
      <c r="B185" t="s">
        <v>341</v>
      </c>
      <c r="C185" s="23" t="s">
        <v>356</v>
      </c>
    </row>
    <row r="186" spans="2:3" x14ac:dyDescent="0.3">
      <c r="B186" t="s">
        <v>186</v>
      </c>
      <c r="C186" s="23" t="s">
        <v>356</v>
      </c>
    </row>
    <row r="187" spans="2:3" x14ac:dyDescent="0.3">
      <c r="B187" t="s">
        <v>280</v>
      </c>
      <c r="C187" s="23" t="s">
        <v>356</v>
      </c>
    </row>
    <row r="188" spans="2:3" x14ac:dyDescent="0.3">
      <c r="B188" t="s">
        <v>290</v>
      </c>
      <c r="C188" s="23" t="s">
        <v>356</v>
      </c>
    </row>
    <row r="189" spans="2:3" x14ac:dyDescent="0.3">
      <c r="B189" t="s">
        <v>321</v>
      </c>
      <c r="C189" s="23" t="s">
        <v>356</v>
      </c>
    </row>
    <row r="190" spans="2:3" x14ac:dyDescent="0.3">
      <c r="B190" t="s">
        <v>140</v>
      </c>
      <c r="C190" s="23" t="s">
        <v>356</v>
      </c>
    </row>
    <row r="191" spans="2:3" x14ac:dyDescent="0.3">
      <c r="B191" t="s">
        <v>354</v>
      </c>
      <c r="C191" s="23" t="s">
        <v>356</v>
      </c>
    </row>
    <row r="192" spans="2:3" x14ac:dyDescent="0.3">
      <c r="B192" t="s">
        <v>161</v>
      </c>
      <c r="C192" s="23" t="s">
        <v>356</v>
      </c>
    </row>
    <row r="193" spans="2:3" x14ac:dyDescent="0.3">
      <c r="B193" t="s">
        <v>305</v>
      </c>
      <c r="C193" s="23" t="s">
        <v>356</v>
      </c>
    </row>
    <row r="194" spans="2:3" x14ac:dyDescent="0.3">
      <c r="B194" t="s">
        <v>294</v>
      </c>
      <c r="C194" s="23" t="s">
        <v>356</v>
      </c>
    </row>
    <row r="195" spans="2:3" x14ac:dyDescent="0.3">
      <c r="B195" t="s">
        <v>154</v>
      </c>
      <c r="C195" s="23" t="s">
        <v>356</v>
      </c>
    </row>
    <row r="196" spans="2:3" x14ac:dyDescent="0.3">
      <c r="B196" t="s">
        <v>304</v>
      </c>
      <c r="C196" s="23" t="s">
        <v>356</v>
      </c>
    </row>
    <row r="197" spans="2:3" x14ac:dyDescent="0.3">
      <c r="B197" t="s">
        <v>264</v>
      </c>
      <c r="C197" s="23" t="s">
        <v>356</v>
      </c>
    </row>
    <row r="198" spans="2:3" x14ac:dyDescent="0.3">
      <c r="B198" t="s">
        <v>229</v>
      </c>
      <c r="C198" s="23" t="s">
        <v>356</v>
      </c>
    </row>
    <row r="199" spans="2:3" x14ac:dyDescent="0.3">
      <c r="B199" t="s">
        <v>152</v>
      </c>
      <c r="C199" s="23" t="s">
        <v>356</v>
      </c>
    </row>
    <row r="200" spans="2:3" x14ac:dyDescent="0.3">
      <c r="B200" t="s">
        <v>187</v>
      </c>
      <c r="C200" s="23" t="s">
        <v>356</v>
      </c>
    </row>
    <row r="201" spans="2:3" x14ac:dyDescent="0.3">
      <c r="B201" t="s">
        <v>231</v>
      </c>
      <c r="C201" s="23" t="s">
        <v>356</v>
      </c>
    </row>
    <row r="202" spans="2:3" x14ac:dyDescent="0.3">
      <c r="B202" t="s">
        <v>151</v>
      </c>
      <c r="C202" s="23" t="s">
        <v>356</v>
      </c>
    </row>
    <row r="203" spans="2:3" x14ac:dyDescent="0.3">
      <c r="B203" t="s">
        <v>313</v>
      </c>
      <c r="C203" s="23" t="s">
        <v>356</v>
      </c>
    </row>
    <row r="204" spans="2:3" x14ac:dyDescent="0.3">
      <c r="B204" t="s">
        <v>148</v>
      </c>
      <c r="C204" s="23" t="s">
        <v>356</v>
      </c>
    </row>
    <row r="205" spans="2:3" x14ac:dyDescent="0.3">
      <c r="B205" t="s">
        <v>263</v>
      </c>
      <c r="C205" s="23" t="s">
        <v>356</v>
      </c>
    </row>
    <row r="206" spans="2:3" x14ac:dyDescent="0.3">
      <c r="B206" t="s">
        <v>248</v>
      </c>
      <c r="C206" s="23" t="s">
        <v>356</v>
      </c>
    </row>
    <row r="207" spans="2:3" x14ac:dyDescent="0.3">
      <c r="B207" t="s">
        <v>101</v>
      </c>
      <c r="C207" s="23" t="s">
        <v>356</v>
      </c>
    </row>
    <row r="208" spans="2:3" x14ac:dyDescent="0.3">
      <c r="B208" t="s">
        <v>274</v>
      </c>
      <c r="C208" s="23" t="s">
        <v>356</v>
      </c>
    </row>
    <row r="209" spans="2:3" x14ac:dyDescent="0.3">
      <c r="B209" t="s">
        <v>315</v>
      </c>
      <c r="C209" s="23" t="s">
        <v>356</v>
      </c>
    </row>
    <row r="210" spans="2:3" x14ac:dyDescent="0.3">
      <c r="B210" t="s">
        <v>329</v>
      </c>
      <c r="C210" s="23" t="s">
        <v>356</v>
      </c>
    </row>
    <row r="211" spans="2:3" x14ac:dyDescent="0.3">
      <c r="B211" t="s">
        <v>188</v>
      </c>
      <c r="C211" s="23" t="s">
        <v>356</v>
      </c>
    </row>
    <row r="212" spans="2:3" x14ac:dyDescent="0.3">
      <c r="B212" t="s">
        <v>132</v>
      </c>
      <c r="C212" s="23" t="s">
        <v>356</v>
      </c>
    </row>
    <row r="213" spans="2:3" x14ac:dyDescent="0.3">
      <c r="B213" t="s">
        <v>292</v>
      </c>
      <c r="C213" s="23" t="s">
        <v>356</v>
      </c>
    </row>
    <row r="214" spans="2:3" x14ac:dyDescent="0.3">
      <c r="B214" t="s">
        <v>289</v>
      </c>
      <c r="C214" s="23" t="s">
        <v>356</v>
      </c>
    </row>
    <row r="215" spans="2:3" x14ac:dyDescent="0.3">
      <c r="B215" t="s">
        <v>325</v>
      </c>
      <c r="C215" s="23" t="s">
        <v>356</v>
      </c>
    </row>
    <row r="216" spans="2:3" x14ac:dyDescent="0.3">
      <c r="B216" t="s">
        <v>261</v>
      </c>
      <c r="C216" s="23" t="s">
        <v>356</v>
      </c>
    </row>
    <row r="217" spans="2:3" x14ac:dyDescent="0.3">
      <c r="B217" t="s">
        <v>307</v>
      </c>
      <c r="C217" s="23" t="s">
        <v>356</v>
      </c>
    </row>
    <row r="218" spans="2:3" x14ac:dyDescent="0.3">
      <c r="B218" t="s">
        <v>249</v>
      </c>
      <c r="C218" s="23" t="s">
        <v>356</v>
      </c>
    </row>
    <row r="219" spans="2:3" x14ac:dyDescent="0.3">
      <c r="B219" t="s">
        <v>225</v>
      </c>
      <c r="C219" s="23" t="s">
        <v>356</v>
      </c>
    </row>
    <row r="220" spans="2:3" x14ac:dyDescent="0.3">
      <c r="B220" t="s">
        <v>198</v>
      </c>
      <c r="C220" s="23" t="s">
        <v>356</v>
      </c>
    </row>
    <row r="221" spans="2:3" x14ac:dyDescent="0.3">
      <c r="B221" t="s">
        <v>118</v>
      </c>
      <c r="C221" s="23" t="s">
        <v>356</v>
      </c>
    </row>
    <row r="222" spans="2:3" x14ac:dyDescent="0.3">
      <c r="B222" t="s">
        <v>165</v>
      </c>
      <c r="C222" s="23" t="s">
        <v>356</v>
      </c>
    </row>
    <row r="223" spans="2:3" x14ac:dyDescent="0.3">
      <c r="B223" t="s">
        <v>340</v>
      </c>
      <c r="C223" s="23" t="s">
        <v>356</v>
      </c>
    </row>
    <row r="224" spans="2:3" x14ac:dyDescent="0.3">
      <c r="B224" t="s">
        <v>279</v>
      </c>
      <c r="C224" s="23" t="s">
        <v>356</v>
      </c>
    </row>
    <row r="225" spans="2:3" x14ac:dyDescent="0.3">
      <c r="B225" t="s">
        <v>189</v>
      </c>
      <c r="C225" s="23" t="s">
        <v>356</v>
      </c>
    </row>
    <row r="226" spans="2:3" x14ac:dyDescent="0.3">
      <c r="B226" t="s">
        <v>190</v>
      </c>
      <c r="C226" s="23" t="s">
        <v>356</v>
      </c>
    </row>
    <row r="227" spans="2:3" x14ac:dyDescent="0.3">
      <c r="B227" t="s">
        <v>350</v>
      </c>
      <c r="C227" s="23" t="s">
        <v>356</v>
      </c>
    </row>
    <row r="228" spans="2:3" x14ac:dyDescent="0.3">
      <c r="B228" t="s">
        <v>143</v>
      </c>
      <c r="C228" s="23" t="s">
        <v>356</v>
      </c>
    </row>
    <row r="229" spans="2:3" x14ac:dyDescent="0.3">
      <c r="B229" t="s">
        <v>241</v>
      </c>
      <c r="C229" s="23" t="s">
        <v>356</v>
      </c>
    </row>
    <row r="230" spans="2:3" x14ac:dyDescent="0.3">
      <c r="B230" t="s">
        <v>201</v>
      </c>
      <c r="C230" s="23" t="s">
        <v>356</v>
      </c>
    </row>
    <row r="231" spans="2:3" x14ac:dyDescent="0.3">
      <c r="B231" t="s">
        <v>124</v>
      </c>
      <c r="C231" s="23" t="s">
        <v>356</v>
      </c>
    </row>
    <row r="232" spans="2:3" x14ac:dyDescent="0.3">
      <c r="B232" t="s">
        <v>339</v>
      </c>
      <c r="C232" s="23" t="s">
        <v>356</v>
      </c>
    </row>
    <row r="233" spans="2:3" x14ac:dyDescent="0.3">
      <c r="B233" t="s">
        <v>275</v>
      </c>
      <c r="C233" s="23" t="s">
        <v>356</v>
      </c>
    </row>
    <row r="234" spans="2:3" x14ac:dyDescent="0.3">
      <c r="B234" t="s">
        <v>255</v>
      </c>
      <c r="C234" s="23" t="s">
        <v>356</v>
      </c>
    </row>
    <row r="235" spans="2:3" x14ac:dyDescent="0.3">
      <c r="B235" t="s">
        <v>306</v>
      </c>
      <c r="C235" s="23" t="s">
        <v>356</v>
      </c>
    </row>
    <row r="236" spans="2:3" x14ac:dyDescent="0.3">
      <c r="B236" t="s">
        <v>302</v>
      </c>
      <c r="C236" s="23" t="s">
        <v>356</v>
      </c>
    </row>
    <row r="237" spans="2:3" x14ac:dyDescent="0.3">
      <c r="B237" t="s">
        <v>345</v>
      </c>
      <c r="C237" s="23" t="s">
        <v>356</v>
      </c>
    </row>
    <row r="238" spans="2:3" x14ac:dyDescent="0.3">
      <c r="B238" t="s">
        <v>105</v>
      </c>
      <c r="C238" s="23" t="s">
        <v>356</v>
      </c>
    </row>
    <row r="239" spans="2:3" x14ac:dyDescent="0.3">
      <c r="B239" t="s">
        <v>191</v>
      </c>
      <c r="C239" s="23" t="s">
        <v>356</v>
      </c>
    </row>
    <row r="240" spans="2:3" x14ac:dyDescent="0.3">
      <c r="B240" t="s">
        <v>135</v>
      </c>
      <c r="C240" s="23" t="s">
        <v>356</v>
      </c>
    </row>
    <row r="241" spans="2:3" x14ac:dyDescent="0.3">
      <c r="B241" t="s">
        <v>192</v>
      </c>
      <c r="C241" s="23" t="s">
        <v>356</v>
      </c>
    </row>
    <row r="242" spans="2:3" x14ac:dyDescent="0.3">
      <c r="B242" t="s">
        <v>212</v>
      </c>
      <c r="C242" s="23" t="s">
        <v>356</v>
      </c>
    </row>
    <row r="243" spans="2:3" x14ac:dyDescent="0.3">
      <c r="B243" t="s">
        <v>282</v>
      </c>
      <c r="C243" s="23" t="s">
        <v>356</v>
      </c>
    </row>
    <row r="244" spans="2:3" x14ac:dyDescent="0.3">
      <c r="B244" t="s">
        <v>254</v>
      </c>
      <c r="C244" s="23" t="s">
        <v>356</v>
      </c>
    </row>
    <row r="245" spans="2:3" x14ac:dyDescent="0.3">
      <c r="B245" t="s">
        <v>193</v>
      </c>
      <c r="C245" s="23" t="s">
        <v>356</v>
      </c>
    </row>
    <row r="246" spans="2:3" x14ac:dyDescent="0.3">
      <c r="B246" t="s">
        <v>207</v>
      </c>
      <c r="C246" s="23" t="s">
        <v>356</v>
      </c>
    </row>
    <row r="247" spans="2:3" x14ac:dyDescent="0.3">
      <c r="B247" t="s">
        <v>194</v>
      </c>
      <c r="C247" s="23" t="s">
        <v>356</v>
      </c>
    </row>
    <row r="248" spans="2:3" x14ac:dyDescent="0.3">
      <c r="B248" t="s">
        <v>242</v>
      </c>
      <c r="C248" s="23" t="s">
        <v>356</v>
      </c>
    </row>
    <row r="249" spans="2:3" x14ac:dyDescent="0.3">
      <c r="B249" t="s">
        <v>113</v>
      </c>
      <c r="C249" s="23" t="s">
        <v>356</v>
      </c>
    </row>
    <row r="250" spans="2:3" x14ac:dyDescent="0.3">
      <c r="B250" t="s">
        <v>195</v>
      </c>
      <c r="C250" s="23" t="s">
        <v>356</v>
      </c>
    </row>
    <row r="251" spans="2:3" x14ac:dyDescent="0.3">
      <c r="B251" t="s">
        <v>320</v>
      </c>
      <c r="C251" s="23" t="s">
        <v>356</v>
      </c>
    </row>
    <row r="252" spans="2:3" x14ac:dyDescent="0.3">
      <c r="B252" t="s">
        <v>206</v>
      </c>
      <c r="C252" s="23" t="s">
        <v>356</v>
      </c>
    </row>
    <row r="253" spans="2:3" x14ac:dyDescent="0.3">
      <c r="B253" t="s">
        <v>204</v>
      </c>
      <c r="C253" s="23" t="s">
        <v>356</v>
      </c>
    </row>
    <row r="254" spans="2:3" x14ac:dyDescent="0.3">
      <c r="B254" t="s">
        <v>122</v>
      </c>
      <c r="C254" s="23" t="s">
        <v>356</v>
      </c>
    </row>
    <row r="255" spans="2:3" x14ac:dyDescent="0.3">
      <c r="B255" t="s">
        <v>103</v>
      </c>
      <c r="C255" s="23" t="s">
        <v>356</v>
      </c>
    </row>
    <row r="256" spans="2:3" x14ac:dyDescent="0.3">
      <c r="B256" t="s">
        <v>216</v>
      </c>
      <c r="C256" s="23" t="s">
        <v>356</v>
      </c>
    </row>
    <row r="257" spans="2:3" x14ac:dyDescent="0.3">
      <c r="B257" t="s">
        <v>283</v>
      </c>
      <c r="C257" s="23" t="s">
        <v>356</v>
      </c>
    </row>
    <row r="258" spans="2:3" x14ac:dyDescent="0.3">
      <c r="B258" t="s">
        <v>237</v>
      </c>
      <c r="C258" s="23" t="s">
        <v>356</v>
      </c>
    </row>
    <row r="259" spans="2:3" x14ac:dyDescent="0.3">
      <c r="B259" t="s">
        <v>159</v>
      </c>
      <c r="C259" s="23" t="s">
        <v>356</v>
      </c>
    </row>
    <row r="260" spans="2:3" x14ac:dyDescent="0.3">
      <c r="B260" t="s">
        <v>331</v>
      </c>
      <c r="C260" s="23" t="s">
        <v>356</v>
      </c>
    </row>
    <row r="261" spans="2:3" x14ac:dyDescent="0.3">
      <c r="B261" t="s">
        <v>199</v>
      </c>
      <c r="C261" s="23" t="s">
        <v>356</v>
      </c>
    </row>
    <row r="262" spans="2:3" x14ac:dyDescent="0.3">
      <c r="B262" t="s">
        <v>228</v>
      </c>
      <c r="C262" s="23" t="s">
        <v>356</v>
      </c>
    </row>
    <row r="263" spans="2:3" x14ac:dyDescent="0.3">
      <c r="B263" t="s">
        <v>293</v>
      </c>
      <c r="C263" s="23" t="s">
        <v>356</v>
      </c>
    </row>
    <row r="264" spans="2:3" x14ac:dyDescent="0.3">
      <c r="B264" t="s">
        <v>267</v>
      </c>
      <c r="C264" s="23" t="s">
        <v>356</v>
      </c>
    </row>
    <row r="265" spans="2:3" x14ac:dyDescent="0.3">
      <c r="B265" t="s">
        <v>208</v>
      </c>
      <c r="C265" s="23" t="s">
        <v>356</v>
      </c>
    </row>
    <row r="266" spans="2:3" x14ac:dyDescent="0.3">
      <c r="B266" t="s">
        <v>342</v>
      </c>
      <c r="C266" s="23" t="s">
        <v>356</v>
      </c>
    </row>
    <row r="267" spans="2:3" x14ac:dyDescent="0.3">
      <c r="B267" t="s">
        <v>243</v>
      </c>
      <c r="C267" s="23" t="s">
        <v>356</v>
      </c>
    </row>
    <row r="268" spans="2:3" x14ac:dyDescent="0.3">
      <c r="B268" t="s">
        <v>197</v>
      </c>
      <c r="C268" s="23" t="s">
        <v>356</v>
      </c>
    </row>
    <row r="269" spans="2:3" x14ac:dyDescent="0.3">
      <c r="B269" t="s">
        <v>202</v>
      </c>
      <c r="C269" s="23" t="s">
        <v>356</v>
      </c>
    </row>
    <row r="270" spans="2:3" x14ac:dyDescent="0.3">
      <c r="B270" t="s">
        <v>349</v>
      </c>
      <c r="C270" s="23" t="s">
        <v>356</v>
      </c>
    </row>
    <row r="271" spans="2:3" x14ac:dyDescent="0.3">
      <c r="B271" t="s">
        <v>285</v>
      </c>
      <c r="C271" s="23" t="s">
        <v>356</v>
      </c>
    </row>
    <row r="272" spans="2:3" x14ac:dyDescent="0.3">
      <c r="B272" t="s">
        <v>106</v>
      </c>
      <c r="C272" s="23" t="s">
        <v>356</v>
      </c>
    </row>
    <row r="273" spans="2:3" x14ac:dyDescent="0.3">
      <c r="B273" t="s">
        <v>281</v>
      </c>
      <c r="C273" s="23" t="s">
        <v>356</v>
      </c>
    </row>
    <row r="274" spans="2:3" x14ac:dyDescent="0.3">
      <c r="B274" t="s">
        <v>121</v>
      </c>
      <c r="C274" s="23" t="s">
        <v>356</v>
      </c>
    </row>
    <row r="275" spans="2:3" x14ac:dyDescent="0.3">
      <c r="B275" t="s">
        <v>324</v>
      </c>
      <c r="C275" s="23" t="s">
        <v>356</v>
      </c>
    </row>
    <row r="276" spans="2:3" x14ac:dyDescent="0.3">
      <c r="B276" t="s">
        <v>226</v>
      </c>
      <c r="C276" s="23" t="s">
        <v>356</v>
      </c>
    </row>
    <row r="277" spans="2:3" x14ac:dyDescent="0.3">
      <c r="B277" t="s">
        <v>270</v>
      </c>
      <c r="C277" s="35" t="s">
        <v>356</v>
      </c>
    </row>
    <row r="278" spans="2:3" x14ac:dyDescent="0.3">
      <c r="B278" t="s">
        <v>296</v>
      </c>
      <c r="C278" s="35" t="s">
        <v>356</v>
      </c>
    </row>
    <row r="279" spans="2:3" x14ac:dyDescent="0.3">
      <c r="B279" s="39" t="s">
        <v>298</v>
      </c>
      <c r="C279" s="35" t="s">
        <v>356</v>
      </c>
    </row>
  </sheetData>
  <conditionalFormatting sqref="B269:B279">
    <cfRule type="duplicateValues" dxfId="80" priority="7"/>
  </conditionalFormatting>
  <conditionalFormatting sqref="B269:B279">
    <cfRule type="duplicateValues" dxfId="79" priority="4"/>
  </conditionalFormatting>
  <conditionalFormatting sqref="B269:B274">
    <cfRule type="duplicateValues" dxfId="78" priority="6"/>
  </conditionalFormatting>
  <conditionalFormatting sqref="B275:B276">
    <cfRule type="duplicateValues" dxfId="77" priority="5"/>
  </conditionalFormatting>
  <conditionalFormatting sqref="A2:A7">
    <cfRule type="duplicateValues" dxfId="76" priority="3"/>
  </conditionalFormatting>
  <conditionalFormatting sqref="A7">
    <cfRule type="duplicateValues" dxfId="75" priority="2"/>
  </conditionalFormatting>
  <conditionalFormatting sqref="A8:A9">
    <cfRule type="duplicateValues" dxfId="74" priority="1"/>
  </conditionalFormatting>
  <dataValidations count="1">
    <dataValidation type="list" allowBlank="1" showInputMessage="1" showErrorMessage="1" sqref="C3:C279 C2" xr:uid="{D449C16C-1AE0-4F02-BB80-1C0865932C5B}">
      <formula1>"ATIVO,AUSENTE,AFASTADO,FÉRIAS,INATIVOS"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94FA-F46B-48AB-A56B-28E715E44D56}">
  <sheetPr codeName="Planilha4"/>
  <dimension ref="A1:C10"/>
  <sheetViews>
    <sheetView showGridLines="0" showRowColHeaders="0" workbookViewId="0">
      <selection activeCell="B27" sqref="B27"/>
    </sheetView>
  </sheetViews>
  <sheetFormatPr defaultRowHeight="14.4" x14ac:dyDescent="0.3"/>
  <cols>
    <col min="1" max="1" width="19" customWidth="1"/>
    <col min="2" max="2" width="40" bestFit="1" customWidth="1"/>
    <col min="3" max="3" width="12.21875" customWidth="1"/>
    <col min="5" max="5" width="12.5546875" customWidth="1"/>
  </cols>
  <sheetData>
    <row r="1" spans="1:3" x14ac:dyDescent="0.3">
      <c r="B1" t="s">
        <v>364</v>
      </c>
      <c r="C1" t="s">
        <v>365</v>
      </c>
    </row>
    <row r="2" spans="1:3" x14ac:dyDescent="0.3">
      <c r="A2" s="3"/>
      <c r="B2" s="22" t="s">
        <v>41</v>
      </c>
      <c r="C2" s="23" t="s">
        <v>80</v>
      </c>
    </row>
    <row r="3" spans="1:3" x14ac:dyDescent="0.3">
      <c r="A3" s="3"/>
      <c r="B3" s="22" t="s">
        <v>7</v>
      </c>
      <c r="C3" s="23" t="s">
        <v>80</v>
      </c>
    </row>
    <row r="4" spans="1:3" x14ac:dyDescent="0.3">
      <c r="A4" s="3"/>
      <c r="B4" s="22" t="s">
        <v>93</v>
      </c>
      <c r="C4" s="23" t="s">
        <v>80</v>
      </c>
    </row>
    <row r="5" spans="1:3" x14ac:dyDescent="0.3">
      <c r="A5" s="3"/>
      <c r="B5" s="22" t="s">
        <v>43</v>
      </c>
      <c r="C5" s="23" t="s">
        <v>80</v>
      </c>
    </row>
    <row r="6" spans="1:3" x14ac:dyDescent="0.3">
      <c r="A6" s="3"/>
      <c r="B6" s="22" t="s">
        <v>44</v>
      </c>
      <c r="C6" s="23" t="s">
        <v>80</v>
      </c>
    </row>
    <row r="7" spans="1:3" x14ac:dyDescent="0.3">
      <c r="A7" s="3"/>
      <c r="B7" s="22" t="s">
        <v>42</v>
      </c>
      <c r="C7" s="23" t="s">
        <v>80</v>
      </c>
    </row>
    <row r="8" spans="1:3" x14ac:dyDescent="0.3">
      <c r="A8" s="3"/>
      <c r="B8" s="22" t="s">
        <v>60</v>
      </c>
      <c r="C8" s="23" t="s">
        <v>80</v>
      </c>
    </row>
    <row r="9" spans="1:3" x14ac:dyDescent="0.3">
      <c r="A9" s="3"/>
      <c r="B9" s="22" t="s">
        <v>45</v>
      </c>
      <c r="C9" s="23" t="s">
        <v>80</v>
      </c>
    </row>
    <row r="10" spans="1:3" x14ac:dyDescent="0.3">
      <c r="B10" s="22" t="s">
        <v>8</v>
      </c>
      <c r="C10" s="23" t="s">
        <v>80</v>
      </c>
    </row>
  </sheetData>
  <conditionalFormatting sqref="A2:A7">
    <cfRule type="duplicateValues" dxfId="68" priority="3"/>
  </conditionalFormatting>
  <conditionalFormatting sqref="A7">
    <cfRule type="duplicateValues" dxfId="67" priority="2"/>
  </conditionalFormatting>
  <conditionalFormatting sqref="A8:A9">
    <cfRule type="duplicateValues" dxfId="66" priority="1"/>
  </conditionalFormatting>
  <dataValidations count="1">
    <dataValidation type="list" allowBlank="1" showInputMessage="1" showErrorMessage="1" sqref="C2:C10" xr:uid="{FDDD67FA-A6FC-4610-91CF-A725F479E66A}">
      <formula1>"ATIVO,AUSENTE,AFASTADO,FÉRIAS,INATIVOS"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C935E-3D5A-48F9-BFF0-0270C90B9293}">
  <sheetPr codeName="Planilha5"/>
  <dimension ref="A1:C9"/>
  <sheetViews>
    <sheetView showGridLines="0" showRowColHeaders="0" workbookViewId="0"/>
  </sheetViews>
  <sheetFormatPr defaultRowHeight="14.4" x14ac:dyDescent="0.3"/>
  <cols>
    <col min="1" max="1" width="19" customWidth="1"/>
    <col min="2" max="2" width="38.44140625" bestFit="1" customWidth="1"/>
    <col min="3" max="3" width="12.21875" customWidth="1"/>
    <col min="5" max="5" width="12.5546875" customWidth="1"/>
  </cols>
  <sheetData>
    <row r="1" spans="1:3" x14ac:dyDescent="0.3">
      <c r="B1" s="33" t="s">
        <v>364</v>
      </c>
      <c r="C1" s="33" t="s">
        <v>365</v>
      </c>
    </row>
    <row r="2" spans="1:3" x14ac:dyDescent="0.3">
      <c r="A2" s="3"/>
      <c r="B2" s="31" t="s">
        <v>51</v>
      </c>
      <c r="C2" s="23" t="s">
        <v>80</v>
      </c>
    </row>
    <row r="3" spans="1:3" x14ac:dyDescent="0.3">
      <c r="A3" s="3"/>
      <c r="B3" s="32" t="s">
        <v>10</v>
      </c>
      <c r="C3" s="25" t="s">
        <v>69</v>
      </c>
    </row>
    <row r="4" spans="1:3" x14ac:dyDescent="0.3">
      <c r="A4" s="3"/>
      <c r="B4" s="31" t="s">
        <v>47</v>
      </c>
      <c r="C4" s="23" t="s">
        <v>80</v>
      </c>
    </row>
    <row r="5" spans="1:3" x14ac:dyDescent="0.3">
      <c r="A5" s="3"/>
      <c r="B5" s="32" t="s">
        <v>4</v>
      </c>
      <c r="C5" s="25" t="s">
        <v>80</v>
      </c>
    </row>
    <row r="6" spans="1:3" x14ac:dyDescent="0.3">
      <c r="A6" s="3"/>
      <c r="B6" s="31" t="s">
        <v>58</v>
      </c>
      <c r="C6" s="23" t="s">
        <v>80</v>
      </c>
    </row>
    <row r="7" spans="1:3" x14ac:dyDescent="0.3">
      <c r="A7" s="3"/>
      <c r="B7" s="32" t="s">
        <v>52</v>
      </c>
      <c r="C7" s="25" t="s">
        <v>80</v>
      </c>
    </row>
    <row r="8" spans="1:3" x14ac:dyDescent="0.3">
      <c r="A8" s="3"/>
      <c r="B8" s="36" t="s">
        <v>66</v>
      </c>
      <c r="C8" s="35" t="s">
        <v>80</v>
      </c>
    </row>
    <row r="9" spans="1:3" x14ac:dyDescent="0.3">
      <c r="A9" s="3"/>
    </row>
  </sheetData>
  <conditionalFormatting sqref="A2:A7">
    <cfRule type="duplicateValues" dxfId="64" priority="3"/>
  </conditionalFormatting>
  <conditionalFormatting sqref="A7">
    <cfRule type="duplicateValues" dxfId="63" priority="2"/>
  </conditionalFormatting>
  <conditionalFormatting sqref="A8:A9">
    <cfRule type="duplicateValues" dxfId="62" priority="1"/>
  </conditionalFormatting>
  <dataValidations count="1">
    <dataValidation type="list" allowBlank="1" showInputMessage="1" showErrorMessage="1" sqref="C2:C8" xr:uid="{9489C996-113F-4EB5-A01C-27D1D887F59C}">
      <formula1>"ATIVO,AUSENTE,AFASTADO,FÉRIAS,INATIVOS"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863F4-0757-4FF5-A55B-A7B7FD08D7E4}">
  <sheetPr codeName="Planilha6"/>
  <dimension ref="A1:C9"/>
  <sheetViews>
    <sheetView showGridLines="0" showRowColHeaders="0" workbookViewId="0"/>
  </sheetViews>
  <sheetFormatPr defaultRowHeight="14.4" x14ac:dyDescent="0.3"/>
  <cols>
    <col min="1" max="1" width="19" customWidth="1"/>
    <col min="2" max="2" width="36.109375" bestFit="1" customWidth="1"/>
    <col min="3" max="3" width="12.21875" customWidth="1"/>
    <col min="5" max="6" width="12.5546875" customWidth="1"/>
  </cols>
  <sheetData>
    <row r="1" spans="1:3" x14ac:dyDescent="0.3">
      <c r="B1" s="33" t="s">
        <v>364</v>
      </c>
      <c r="C1" s="33" t="s">
        <v>365</v>
      </c>
    </row>
    <row r="2" spans="1:3" x14ac:dyDescent="0.3">
      <c r="A2" s="3"/>
      <c r="B2" s="31" t="s">
        <v>24</v>
      </c>
      <c r="C2" s="23" t="s">
        <v>80</v>
      </c>
    </row>
    <row r="3" spans="1:3" x14ac:dyDescent="0.3">
      <c r="A3" s="3"/>
      <c r="B3" s="32" t="s">
        <v>57</v>
      </c>
      <c r="C3" s="23" t="s">
        <v>69</v>
      </c>
    </row>
    <row r="4" spans="1:3" x14ac:dyDescent="0.3">
      <c r="A4" s="3"/>
      <c r="B4" s="31" t="s">
        <v>9</v>
      </c>
      <c r="C4" s="23" t="s">
        <v>80</v>
      </c>
    </row>
    <row r="5" spans="1:3" x14ac:dyDescent="0.3">
      <c r="A5" s="3"/>
      <c r="B5" s="32" t="s">
        <v>30</v>
      </c>
      <c r="C5" s="23" t="s">
        <v>80</v>
      </c>
    </row>
    <row r="6" spans="1:3" x14ac:dyDescent="0.3">
      <c r="A6" s="3"/>
      <c r="B6" s="31" t="s">
        <v>56</v>
      </c>
      <c r="C6" s="23" t="s">
        <v>80</v>
      </c>
    </row>
    <row r="7" spans="1:3" x14ac:dyDescent="0.3">
      <c r="A7" s="3"/>
      <c r="B7" s="34" t="s">
        <v>62</v>
      </c>
      <c r="C7" s="35" t="s">
        <v>80</v>
      </c>
    </row>
    <row r="8" spans="1:3" x14ac:dyDescent="0.3">
      <c r="A8" s="3"/>
    </row>
    <row r="9" spans="1:3" x14ac:dyDescent="0.3">
      <c r="A9" s="3"/>
    </row>
  </sheetData>
  <conditionalFormatting sqref="A2:A7">
    <cfRule type="duplicateValues" dxfId="55" priority="3"/>
  </conditionalFormatting>
  <conditionalFormatting sqref="A7">
    <cfRule type="duplicateValues" dxfId="54" priority="2"/>
  </conditionalFormatting>
  <conditionalFormatting sqref="A8:A9">
    <cfRule type="duplicateValues" dxfId="53" priority="1"/>
  </conditionalFormatting>
  <dataValidations count="1">
    <dataValidation type="list" allowBlank="1" showInputMessage="1" showErrorMessage="1" sqref="C2:C7" xr:uid="{423285CB-D3B8-4B59-8AE6-D26436502B54}">
      <formula1>"ATIVO,AUSENTE,AFASTADO,FÉRIAS,INATIVOS"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C5862-3E56-4C5D-BDBD-2DD075DAD430}">
  <sheetPr codeName="Planilha7"/>
  <dimension ref="A1:C9"/>
  <sheetViews>
    <sheetView showGridLines="0" showRowColHeaders="0" workbookViewId="0">
      <selection activeCell="S27" sqref="S27"/>
    </sheetView>
  </sheetViews>
  <sheetFormatPr defaultRowHeight="14.4" x14ac:dyDescent="0.3"/>
  <cols>
    <col min="1" max="1" width="19" customWidth="1"/>
    <col min="2" max="2" width="40.21875" bestFit="1" customWidth="1"/>
    <col min="3" max="3" width="12.21875" customWidth="1"/>
    <col min="5" max="5" width="12.5546875" customWidth="1"/>
  </cols>
  <sheetData>
    <row r="1" spans="1:3" x14ac:dyDescent="0.3">
      <c r="B1" s="33" t="s">
        <v>364</v>
      </c>
      <c r="C1" s="33" t="s">
        <v>365</v>
      </c>
    </row>
    <row r="2" spans="1:3" x14ac:dyDescent="0.3">
      <c r="A2" s="3"/>
      <c r="B2" s="31" t="s">
        <v>26</v>
      </c>
      <c r="C2" s="23" t="s">
        <v>80</v>
      </c>
    </row>
    <row r="3" spans="1:3" x14ac:dyDescent="0.3">
      <c r="A3" s="3"/>
      <c r="B3" s="32" t="s">
        <v>48</v>
      </c>
      <c r="C3" s="23" t="s">
        <v>80</v>
      </c>
    </row>
    <row r="4" spans="1:3" x14ac:dyDescent="0.3">
      <c r="A4" s="3"/>
      <c r="B4" s="31" t="s">
        <v>29</v>
      </c>
      <c r="C4" s="23" t="s">
        <v>80</v>
      </c>
    </row>
    <row r="5" spans="1:3" x14ac:dyDescent="0.3">
      <c r="A5" s="3"/>
      <c r="B5" s="32" t="s">
        <v>12</v>
      </c>
      <c r="C5" s="23" t="s">
        <v>80</v>
      </c>
    </row>
    <row r="6" spans="1:3" x14ac:dyDescent="0.3">
      <c r="A6" s="3"/>
      <c r="B6" s="31" t="s">
        <v>54</v>
      </c>
      <c r="C6" s="23" t="s">
        <v>80</v>
      </c>
    </row>
    <row r="7" spans="1:3" x14ac:dyDescent="0.3">
      <c r="A7" s="3"/>
      <c r="B7" s="32" t="s">
        <v>11</v>
      </c>
      <c r="C7" s="23" t="s">
        <v>80</v>
      </c>
    </row>
    <row r="8" spans="1:3" x14ac:dyDescent="0.3">
      <c r="A8" s="3"/>
      <c r="B8" s="36" t="s">
        <v>28</v>
      </c>
      <c r="C8" s="35" t="s">
        <v>80</v>
      </c>
    </row>
    <row r="9" spans="1:3" x14ac:dyDescent="0.3">
      <c r="A9" s="3"/>
    </row>
  </sheetData>
  <conditionalFormatting sqref="A2:A7">
    <cfRule type="duplicateValues" dxfId="46" priority="3"/>
  </conditionalFormatting>
  <conditionalFormatting sqref="A7">
    <cfRule type="duplicateValues" dxfId="45" priority="2"/>
  </conditionalFormatting>
  <conditionalFormatting sqref="A8:A9">
    <cfRule type="duplicateValues" dxfId="44" priority="1"/>
  </conditionalFormatting>
  <dataValidations count="1">
    <dataValidation type="list" allowBlank="1" showInputMessage="1" showErrorMessage="1" sqref="C2:C8" xr:uid="{50559137-9484-43A2-BE48-5F78055638E3}">
      <formula1>"ATIVO,AUSENTE,AFASTADO,FÉRIAS,INATIVOS"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D5399-6C81-4930-8238-C0095DB7100E}">
  <sheetPr codeName="Planilha8"/>
  <dimension ref="A1:C9"/>
  <sheetViews>
    <sheetView showGridLines="0" showRowColHeaders="0" workbookViewId="0"/>
  </sheetViews>
  <sheetFormatPr defaultRowHeight="14.4" x14ac:dyDescent="0.3"/>
  <cols>
    <col min="1" max="1" width="19" customWidth="1"/>
    <col min="2" max="2" width="41.21875" bestFit="1" customWidth="1"/>
    <col min="3" max="3" width="12.21875" customWidth="1"/>
    <col min="5" max="5" width="12.5546875" customWidth="1"/>
  </cols>
  <sheetData>
    <row r="1" spans="1:3" x14ac:dyDescent="0.3">
      <c r="B1" s="33" t="s">
        <v>364</v>
      </c>
      <c r="C1" s="33" t="s">
        <v>365</v>
      </c>
    </row>
    <row r="2" spans="1:3" x14ac:dyDescent="0.3">
      <c r="A2" s="3"/>
      <c r="B2" s="31" t="s">
        <v>16</v>
      </c>
      <c r="C2" s="23" t="s">
        <v>80</v>
      </c>
    </row>
    <row r="3" spans="1:3" x14ac:dyDescent="0.3">
      <c r="A3" s="3"/>
      <c r="B3" s="32" t="s">
        <v>50</v>
      </c>
      <c r="C3" s="23" t="s">
        <v>80</v>
      </c>
    </row>
    <row r="4" spans="1:3" x14ac:dyDescent="0.3">
      <c r="A4" s="3"/>
      <c r="B4" s="31" t="s">
        <v>53</v>
      </c>
      <c r="C4" s="23" t="s">
        <v>80</v>
      </c>
    </row>
    <row r="5" spans="1:3" x14ac:dyDescent="0.3">
      <c r="A5" s="3"/>
      <c r="B5" s="32" t="s">
        <v>25</v>
      </c>
      <c r="C5" s="23" t="s">
        <v>80</v>
      </c>
    </row>
    <row r="6" spans="1:3" x14ac:dyDescent="0.3">
      <c r="A6" s="3"/>
      <c r="B6" s="31" t="s">
        <v>55</v>
      </c>
      <c r="C6" s="23" t="s">
        <v>80</v>
      </c>
    </row>
    <row r="7" spans="1:3" x14ac:dyDescent="0.3">
      <c r="A7" s="3"/>
      <c r="B7" s="32" t="s">
        <v>17</v>
      </c>
      <c r="C7" s="23" t="s">
        <v>80</v>
      </c>
    </row>
    <row r="8" spans="1:3" x14ac:dyDescent="0.3">
      <c r="A8" s="3"/>
      <c r="B8" s="36" t="s">
        <v>18</v>
      </c>
      <c r="C8" s="35" t="s">
        <v>366</v>
      </c>
    </row>
    <row r="9" spans="1:3" x14ac:dyDescent="0.3">
      <c r="A9" s="3"/>
    </row>
  </sheetData>
  <conditionalFormatting sqref="A2:A7">
    <cfRule type="duplicateValues" dxfId="37" priority="3"/>
  </conditionalFormatting>
  <conditionalFormatting sqref="A7">
    <cfRule type="duplicateValues" dxfId="36" priority="2"/>
  </conditionalFormatting>
  <conditionalFormatting sqref="A8:A9">
    <cfRule type="duplicateValues" dxfId="35" priority="1"/>
  </conditionalFormatting>
  <dataValidations count="1">
    <dataValidation type="list" allowBlank="1" showInputMessage="1" showErrorMessage="1" sqref="C2:C8" xr:uid="{66A937CB-4D93-4FEA-B716-0511F66E7A2E}">
      <formula1>"ATIVO,AUSENTE,AFASTADO,FÉRIAS,INATIVOS"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F9561-1C76-4073-AA49-659AABBF8EEE}">
  <sheetPr codeName="Planilha9"/>
  <dimension ref="A1:C9"/>
  <sheetViews>
    <sheetView showGridLines="0" showRowColHeaders="0" workbookViewId="0"/>
  </sheetViews>
  <sheetFormatPr defaultRowHeight="14.4" x14ac:dyDescent="0.3"/>
  <cols>
    <col min="1" max="1" width="19" customWidth="1"/>
    <col min="2" max="2" width="36" bestFit="1" customWidth="1"/>
    <col min="3" max="3" width="12.21875" customWidth="1"/>
    <col min="5" max="5" width="12.5546875" customWidth="1"/>
  </cols>
  <sheetData>
    <row r="1" spans="1:3" x14ac:dyDescent="0.3">
      <c r="B1" s="33" t="s">
        <v>364</v>
      </c>
      <c r="C1" s="33" t="s">
        <v>365</v>
      </c>
    </row>
    <row r="2" spans="1:3" x14ac:dyDescent="0.3">
      <c r="A2" s="3"/>
      <c r="B2" s="31" t="s">
        <v>15</v>
      </c>
      <c r="C2" s="23" t="s">
        <v>80</v>
      </c>
    </row>
    <row r="3" spans="1:3" x14ac:dyDescent="0.3">
      <c r="A3" s="3"/>
      <c r="B3" s="32" t="s">
        <v>65</v>
      </c>
      <c r="C3" s="23" t="s">
        <v>80</v>
      </c>
    </row>
    <row r="4" spans="1:3" x14ac:dyDescent="0.3">
      <c r="A4" s="3"/>
      <c r="B4" s="31" t="s">
        <v>27</v>
      </c>
      <c r="C4" s="23" t="s">
        <v>80</v>
      </c>
    </row>
    <row r="5" spans="1:3" x14ac:dyDescent="0.3">
      <c r="A5" s="3"/>
      <c r="B5" s="32" t="s">
        <v>31</v>
      </c>
      <c r="C5" s="23" t="s">
        <v>80</v>
      </c>
    </row>
    <row r="6" spans="1:3" x14ac:dyDescent="0.3">
      <c r="A6" s="3"/>
      <c r="B6" s="31" t="s">
        <v>61</v>
      </c>
      <c r="C6" s="23" t="s">
        <v>80</v>
      </c>
    </row>
    <row r="7" spans="1:3" ht="15" customHeight="1" x14ac:dyDescent="0.3">
      <c r="A7" s="3"/>
      <c r="B7" s="34" t="s">
        <v>13</v>
      </c>
      <c r="C7" s="35" t="s">
        <v>80</v>
      </c>
    </row>
    <row r="8" spans="1:3" x14ac:dyDescent="0.3">
      <c r="A8" s="3"/>
    </row>
    <row r="9" spans="1:3" x14ac:dyDescent="0.3">
      <c r="A9" s="3"/>
    </row>
  </sheetData>
  <conditionalFormatting sqref="A2:A7">
    <cfRule type="duplicateValues" dxfId="28" priority="3"/>
  </conditionalFormatting>
  <conditionalFormatting sqref="A7">
    <cfRule type="duplicateValues" dxfId="27" priority="2"/>
  </conditionalFormatting>
  <conditionalFormatting sqref="A8:A9">
    <cfRule type="duplicateValues" dxfId="26" priority="1"/>
  </conditionalFormatting>
  <dataValidations count="1">
    <dataValidation type="list" allowBlank="1" showInputMessage="1" showErrorMessage="1" sqref="C2:C7" xr:uid="{06A18808-2C3C-4805-A3EC-65EF9D4530F1}">
      <formula1>"ATIVO,AUSENTE,AFASTADO,FÉRIAS,INATIVOS"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34CF-4757-401F-ABBF-BA4B517D7134}">
  <sheetPr codeName="Planilha10"/>
  <dimension ref="A1:C9"/>
  <sheetViews>
    <sheetView showGridLines="0" showRowColHeaders="0" workbookViewId="0">
      <selection activeCell="E12" sqref="E12"/>
    </sheetView>
  </sheetViews>
  <sheetFormatPr defaultRowHeight="14.4" x14ac:dyDescent="0.3"/>
  <cols>
    <col min="1" max="1" width="19" customWidth="1"/>
    <col min="2" max="2" width="34.33203125" bestFit="1" customWidth="1"/>
    <col min="3" max="3" width="12.21875" customWidth="1"/>
    <col min="5" max="5" width="12.5546875" customWidth="1"/>
  </cols>
  <sheetData>
    <row r="1" spans="1:3" x14ac:dyDescent="0.3">
      <c r="B1" s="29" t="s">
        <v>364</v>
      </c>
      <c r="C1" s="30" t="s">
        <v>365</v>
      </c>
    </row>
    <row r="2" spans="1:3" x14ac:dyDescent="0.3">
      <c r="A2" s="3"/>
      <c r="B2" s="27" t="s">
        <v>23</v>
      </c>
      <c r="C2" s="24" t="s">
        <v>80</v>
      </c>
    </row>
    <row r="3" spans="1:3" x14ac:dyDescent="0.3">
      <c r="A3" s="3"/>
      <c r="B3" s="28" t="s">
        <v>19</v>
      </c>
      <c r="C3" s="24" t="s">
        <v>80</v>
      </c>
    </row>
    <row r="4" spans="1:3" x14ac:dyDescent="0.3">
      <c r="A4" s="3"/>
      <c r="B4" s="27" t="s">
        <v>21</v>
      </c>
      <c r="C4" s="24" t="s">
        <v>80</v>
      </c>
    </row>
    <row r="5" spans="1:3" x14ac:dyDescent="0.3">
      <c r="A5" s="3"/>
      <c r="B5" s="28" t="s">
        <v>63</v>
      </c>
      <c r="C5" s="24" t="s">
        <v>80</v>
      </c>
    </row>
    <row r="6" spans="1:3" x14ac:dyDescent="0.3">
      <c r="A6" s="3"/>
      <c r="B6" s="27" t="s">
        <v>3</v>
      </c>
      <c r="C6" s="24" t="s">
        <v>80</v>
      </c>
    </row>
    <row r="7" spans="1:3" x14ac:dyDescent="0.3">
      <c r="A7" s="3"/>
      <c r="B7" s="28" t="s">
        <v>5</v>
      </c>
      <c r="C7" s="24" t="s">
        <v>366</v>
      </c>
    </row>
    <row r="8" spans="1:3" x14ac:dyDescent="0.3">
      <c r="A8" s="3"/>
      <c r="B8" t="s">
        <v>22</v>
      </c>
      <c r="C8" s="24" t="s">
        <v>80</v>
      </c>
    </row>
    <row r="9" spans="1:3" x14ac:dyDescent="0.3">
      <c r="A9" s="3"/>
    </row>
  </sheetData>
  <conditionalFormatting sqref="A2:A7">
    <cfRule type="duplicateValues" dxfId="19" priority="3"/>
  </conditionalFormatting>
  <conditionalFormatting sqref="A7">
    <cfRule type="duplicateValues" dxfId="18" priority="2"/>
  </conditionalFormatting>
  <conditionalFormatting sqref="A8:A9">
    <cfRule type="duplicateValues" dxfId="17" priority="1"/>
  </conditionalFormatting>
  <dataValidations count="1">
    <dataValidation type="list" allowBlank="1" showInputMessage="1" showErrorMessage="1" sqref="C2:C8" xr:uid="{B672B5D8-0262-40E4-9166-3E64037A909B}">
      <formula1>"ATIVO,AUSENTE,AFASTADO,FÉRIAS,INATIVOS"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5FA4-FF99-4A24-9A27-057620DF6B5B}">
  <sheetPr codeName="Planilha15"/>
  <dimension ref="A1:D69"/>
  <sheetViews>
    <sheetView showGridLines="0" showRowColHeaders="0" workbookViewId="0">
      <selection activeCell="B2" sqref="B2"/>
    </sheetView>
  </sheetViews>
  <sheetFormatPr defaultRowHeight="14.4" x14ac:dyDescent="0.3"/>
  <cols>
    <col min="1" max="1" width="19" customWidth="1"/>
    <col min="2" max="2" width="41.21875" bestFit="1" customWidth="1"/>
    <col min="3" max="3" width="12.21875" customWidth="1"/>
    <col min="4" max="4" width="17.33203125" bestFit="1" customWidth="1"/>
    <col min="5" max="5" width="12.5546875" customWidth="1"/>
  </cols>
  <sheetData>
    <row r="1" spans="1:4" x14ac:dyDescent="0.3">
      <c r="B1" s="29" t="s">
        <v>364</v>
      </c>
      <c r="C1" s="30" t="s">
        <v>365</v>
      </c>
      <c r="D1" s="33" t="s">
        <v>95</v>
      </c>
    </row>
    <row r="2" spans="1:4" x14ac:dyDescent="0.3">
      <c r="A2" s="3"/>
      <c r="B2" s="37" t="s">
        <v>41</v>
      </c>
      <c r="C2" t="str">
        <f>_xlfn.XLOOKUP(B2,COLABS!A:A,COLABS!G:G,"")</f>
        <v>ATIVO</v>
      </c>
      <c r="D2" t="str">
        <f>_xlfn.XLOOKUP(Tabela11[[#This Row],[COLABORADOR]],COLABS!A:A,COLABS!F:F,"")</f>
        <v>COBRANÇA_GERAL</v>
      </c>
    </row>
    <row r="3" spans="1:4" x14ac:dyDescent="0.3">
      <c r="A3" s="3"/>
      <c r="B3" s="38" t="s">
        <v>7</v>
      </c>
      <c r="C3" t="str">
        <f>_xlfn.XLOOKUP(B3,COLABS!A:A,COLABS!G:G,"")</f>
        <v>ATIVO</v>
      </c>
      <c r="D3" t="str">
        <f>_xlfn.XLOOKUP(Tabela11[[#This Row],[COLABORADOR]],COLABS!A:A,COLABS!F:F,"")</f>
        <v>COBRANÇA_GERAL</v>
      </c>
    </row>
    <row r="4" spans="1:4" x14ac:dyDescent="0.3">
      <c r="A4" s="3"/>
      <c r="B4" s="37" t="s">
        <v>93</v>
      </c>
      <c r="C4" t="str">
        <f>_xlfn.XLOOKUP(B4,COLABS!A:A,COLABS!G:G,"")</f>
        <v>ATIVO</v>
      </c>
      <c r="D4" t="str">
        <f>_xlfn.XLOOKUP(Tabela11[[#This Row],[COLABORADOR]],COLABS!A:A,COLABS!F:F,"")</f>
        <v>COBRANÇA_GERAL</v>
      </c>
    </row>
    <row r="5" spans="1:4" x14ac:dyDescent="0.3">
      <c r="A5" s="3"/>
      <c r="B5" s="38" t="s">
        <v>43</v>
      </c>
      <c r="C5" t="str">
        <f>_xlfn.XLOOKUP(B5,COLABS!A:A,COLABS!G:G,"")</f>
        <v>ATIVO</v>
      </c>
      <c r="D5" t="str">
        <f>_xlfn.XLOOKUP(Tabela11[[#This Row],[COLABORADOR]],COLABS!A:A,COLABS!F:F,"")</f>
        <v>COBRANÇA_GERAL</v>
      </c>
    </row>
    <row r="6" spans="1:4" x14ac:dyDescent="0.3">
      <c r="A6" s="3"/>
      <c r="B6" s="37" t="s">
        <v>44</v>
      </c>
      <c r="C6" t="str">
        <f>_xlfn.XLOOKUP(B6,COLABS!A:A,COLABS!G:G,"")</f>
        <v>ATIVO</v>
      </c>
      <c r="D6" t="str">
        <f>_xlfn.XLOOKUP(Tabela11[[#This Row],[COLABORADOR]],COLABS!A:A,COLABS!F:F,"")</f>
        <v>COBRANÇA_GERAL</v>
      </c>
    </row>
    <row r="7" spans="1:4" x14ac:dyDescent="0.3">
      <c r="A7" s="3"/>
      <c r="B7" s="38" t="s">
        <v>42</v>
      </c>
      <c r="C7" t="str">
        <f>_xlfn.XLOOKUP(B7,COLABS!A:A,COLABS!G:G,"")</f>
        <v>ATIVO</v>
      </c>
      <c r="D7" t="str">
        <f>_xlfn.XLOOKUP(Tabela11[[#This Row],[COLABORADOR]],COLABS!A:A,COLABS!F:F,"")</f>
        <v>COBRANÇA_GERAL</v>
      </c>
    </row>
    <row r="8" spans="1:4" x14ac:dyDescent="0.3">
      <c r="A8" s="3"/>
      <c r="B8" s="37" t="s">
        <v>60</v>
      </c>
      <c r="C8" t="str">
        <f>_xlfn.XLOOKUP(B8,COLABS!A:A,COLABS!G:G,"")</f>
        <v>ATIVO</v>
      </c>
      <c r="D8" t="str">
        <f>_xlfn.XLOOKUP(Tabela11[[#This Row],[COLABORADOR]],COLABS!A:A,COLABS!F:F,"")</f>
        <v>COBRANÇA_GERAL</v>
      </c>
    </row>
    <row r="9" spans="1:4" hidden="1" x14ac:dyDescent="0.3">
      <c r="A9" s="3"/>
      <c r="B9" s="38" t="s">
        <v>10</v>
      </c>
      <c r="C9" t="str">
        <f>_xlfn.XLOOKUP(B9,COLABS!A:A,COLABS!G:G,"")</f>
        <v>FÉRIAS</v>
      </c>
      <c r="D9" t="str">
        <f>_xlfn.XLOOKUP(Tabela11[[#This Row],[COLABORADOR]],COLABS!A:A,COLABS!F:F,"")</f>
        <v>COBRANÇA_GERAL</v>
      </c>
    </row>
    <row r="10" spans="1:4" x14ac:dyDescent="0.3">
      <c r="B10" s="37" t="s">
        <v>45</v>
      </c>
      <c r="C10" t="str">
        <f>_xlfn.XLOOKUP(B10,COLABS!A:A,COLABS!G:G,"")</f>
        <v>ATIVO</v>
      </c>
      <c r="D10" t="str">
        <f>_xlfn.XLOOKUP(Tabela11[[#This Row],[COLABORADOR]],COLABS!A:A,COLABS!F:F,"")</f>
        <v>COBRANÇA_GERAL</v>
      </c>
    </row>
    <row r="11" spans="1:4" x14ac:dyDescent="0.3">
      <c r="B11" s="38" t="s">
        <v>8</v>
      </c>
      <c r="C11" t="str">
        <f>_xlfn.XLOOKUP(B11,COLABS!A:A,COLABS!G:G,"")</f>
        <v>ATIVO</v>
      </c>
      <c r="D11" t="str">
        <f>_xlfn.XLOOKUP(Tabela11[[#This Row],[COLABORADOR]],COLABS!A:A,COLABS!F:F,"")</f>
        <v>COBRANÇA_GERAL</v>
      </c>
    </row>
    <row r="12" spans="1:4" hidden="1" x14ac:dyDescent="0.3">
      <c r="B12" s="37" t="s">
        <v>23</v>
      </c>
      <c r="C12" t="str">
        <f>_xlfn.XLOOKUP(B12,COLABS!A:A,COLABS!G:G,"")</f>
        <v>ATIVO</v>
      </c>
      <c r="D12" t="str">
        <f>_xlfn.XLOOKUP(Tabela11[[#This Row],[COLABORADOR]],COLABS!A:A,COLABS!F:F,"")</f>
        <v>Telecobrança</v>
      </c>
    </row>
    <row r="13" spans="1:4" hidden="1" x14ac:dyDescent="0.3">
      <c r="B13" s="38" t="s">
        <v>19</v>
      </c>
      <c r="C13" t="str">
        <f>_xlfn.XLOOKUP(B13,COLABS!A:A,COLABS!G:G,"")</f>
        <v>ATIVO</v>
      </c>
      <c r="D13" t="str">
        <f>_xlfn.XLOOKUP(Tabela11[[#This Row],[COLABORADOR]],COLABS!A:A,COLABS!F:F,"")</f>
        <v>Telecobrança</v>
      </c>
    </row>
    <row r="14" spans="1:4" hidden="1" x14ac:dyDescent="0.3">
      <c r="B14" s="37" t="s">
        <v>21</v>
      </c>
      <c r="C14" t="str">
        <f>_xlfn.XLOOKUP(B14,COLABS!A:A,COLABS!G:G,"")</f>
        <v>ATIVO</v>
      </c>
      <c r="D14" t="str">
        <f>_xlfn.XLOOKUP(Tabela11[[#This Row],[COLABORADOR]],COLABS!A:A,COLABS!F:F,"")</f>
        <v>Telecobrança</v>
      </c>
    </row>
    <row r="15" spans="1:4" hidden="1" x14ac:dyDescent="0.3">
      <c r="B15" s="38" t="s">
        <v>63</v>
      </c>
      <c r="C15" t="str">
        <f>_xlfn.XLOOKUP(B15,COLABS!A:A,COLABS!G:G,"")</f>
        <v>ATIVO</v>
      </c>
      <c r="D15" t="str">
        <f>_xlfn.XLOOKUP(Tabela11[[#This Row],[COLABORADOR]],COLABS!A:A,COLABS!F:F,"")</f>
        <v>Telecobrança</v>
      </c>
    </row>
    <row r="16" spans="1:4" hidden="1" x14ac:dyDescent="0.3">
      <c r="B16" s="37" t="s">
        <v>57</v>
      </c>
      <c r="C16" t="str">
        <f>_xlfn.XLOOKUP(B16,COLABS!A:A,COLABS!G:G,"")</f>
        <v>FÉRIAS</v>
      </c>
      <c r="D16" t="str">
        <f>_xlfn.XLOOKUP(Tabela11[[#This Row],[COLABORADOR]],COLABS!A:A,COLABS!F:F,"")</f>
        <v>COBRANÇA_GERAL</v>
      </c>
    </row>
    <row r="17" spans="2:4" hidden="1" x14ac:dyDescent="0.3">
      <c r="B17" s="38" t="s">
        <v>3</v>
      </c>
      <c r="C17" t="str">
        <f>_xlfn.XLOOKUP(B17,COLABS!A:A,COLABS!G:G,"")</f>
        <v>ATIVO</v>
      </c>
      <c r="D17" t="str">
        <f>_xlfn.XLOOKUP(Tabela11[[#This Row],[COLABORADOR]],COLABS!A:A,COLABS!F:F,"")</f>
        <v>Telecobrança</v>
      </c>
    </row>
    <row r="18" spans="2:4" hidden="1" x14ac:dyDescent="0.3">
      <c r="B18" s="37" t="s">
        <v>22</v>
      </c>
      <c r="C18" t="str">
        <f>_xlfn.XLOOKUP(B18,COLABS!A:A,COLABS!G:G,"")</f>
        <v>ATIVO</v>
      </c>
      <c r="D18" t="str">
        <f>_xlfn.XLOOKUP(Tabela11[[#This Row],[COLABORADOR]],COLABS!A:A,COLABS!F:F,"")</f>
        <v>Telecobrança</v>
      </c>
    </row>
    <row r="19" spans="2:4" x14ac:dyDescent="0.3">
      <c r="B19" s="38" t="s">
        <v>51</v>
      </c>
      <c r="C19" t="str">
        <f>_xlfn.XLOOKUP(B19,COLABS!A:A,COLABS!G:G,"")</f>
        <v>ATIVO</v>
      </c>
      <c r="D19" t="str">
        <f>_xlfn.XLOOKUP(Tabela11[[#This Row],[COLABORADOR]],COLABS!A:A,COLABS!F:F,"")</f>
        <v>COBRANÇA_GERAL</v>
      </c>
    </row>
    <row r="20" spans="2:4" x14ac:dyDescent="0.3">
      <c r="B20" s="37" t="s">
        <v>47</v>
      </c>
      <c r="C20" t="str">
        <f>_xlfn.XLOOKUP(B20,COLABS!A:A,COLABS!G:G,"")</f>
        <v>ATIVO</v>
      </c>
      <c r="D20" t="str">
        <f>_xlfn.XLOOKUP(Tabela11[[#This Row],[COLABORADOR]],COLABS!A:A,COLABS!F:F,"")</f>
        <v>COBRANÇA_GERAL</v>
      </c>
    </row>
    <row r="21" spans="2:4" x14ac:dyDescent="0.3">
      <c r="B21" s="38" t="s">
        <v>58</v>
      </c>
      <c r="C21" t="str">
        <f>_xlfn.XLOOKUP(B21,COLABS!A:A,COLABS!G:G,"")</f>
        <v>ATIVO</v>
      </c>
      <c r="D21" t="str">
        <f>_xlfn.XLOOKUP(Tabela11[[#This Row],[COLABORADOR]],COLABS!A:A,COLABS!F:F,"")</f>
        <v>COBRANÇA_GERAL</v>
      </c>
    </row>
    <row r="22" spans="2:4" x14ac:dyDescent="0.3">
      <c r="B22" s="37" t="s">
        <v>52</v>
      </c>
      <c r="C22" t="str">
        <f>_xlfn.XLOOKUP(B22,COLABS!A:A,COLABS!G:G,"")</f>
        <v>ATIVO</v>
      </c>
      <c r="D22" t="str">
        <f>_xlfn.XLOOKUP(Tabela11[[#This Row],[COLABORADOR]],COLABS!A:A,COLABS!F:F,"")</f>
        <v>COBRANÇA_GERAL</v>
      </c>
    </row>
    <row r="23" spans="2:4" x14ac:dyDescent="0.3">
      <c r="B23" s="38" t="s">
        <v>66</v>
      </c>
      <c r="C23" t="str">
        <f>_xlfn.XLOOKUP(B23,COLABS!A:A,COLABS!G:G,"")</f>
        <v>ATIVO</v>
      </c>
      <c r="D23" t="str">
        <f>_xlfn.XLOOKUP(Tabela11[[#This Row],[COLABORADOR]],COLABS!A:A,COLABS!F:F,"")</f>
        <v>COBRANÇA_GERAL</v>
      </c>
    </row>
    <row r="24" spans="2:4" x14ac:dyDescent="0.3">
      <c r="B24" s="37" t="s">
        <v>4</v>
      </c>
      <c r="C24" t="str">
        <f>_xlfn.XLOOKUP(B24,COLABS!A:A,COLABS!G:G,"")</f>
        <v>ATIVO</v>
      </c>
      <c r="D24" t="str">
        <f>_xlfn.XLOOKUP(Tabela11[[#This Row],[COLABORADOR]],COLABS!A:A,COLABS!F:F,"")</f>
        <v>COBRANÇA_GERAL</v>
      </c>
    </row>
    <row r="25" spans="2:4" x14ac:dyDescent="0.3">
      <c r="B25" s="38" t="s">
        <v>24</v>
      </c>
      <c r="C25" t="str">
        <f>_xlfn.XLOOKUP(B25,COLABS!A:A,COLABS!G:G,"")</f>
        <v>ATIVO</v>
      </c>
      <c r="D25" t="str">
        <f>_xlfn.XLOOKUP(Tabela11[[#This Row],[COLABORADOR]],COLABS!A:A,COLABS!F:F,"")</f>
        <v>COBRANÇA_GERAL</v>
      </c>
    </row>
    <row r="26" spans="2:4" x14ac:dyDescent="0.3">
      <c r="B26" s="37" t="s">
        <v>9</v>
      </c>
      <c r="C26" t="str">
        <f>_xlfn.XLOOKUP(B26,COLABS!A:A,COLABS!G:G,"")</f>
        <v>ATIVO</v>
      </c>
      <c r="D26" t="str">
        <f>_xlfn.XLOOKUP(Tabela11[[#This Row],[COLABORADOR]],COLABS!A:A,COLABS!F:F,"")</f>
        <v>COBRANÇA_GERAL</v>
      </c>
    </row>
    <row r="27" spans="2:4" x14ac:dyDescent="0.3">
      <c r="B27" s="38" t="s">
        <v>30</v>
      </c>
      <c r="C27" t="str">
        <f>_xlfn.XLOOKUP(B27,COLABS!A:A,COLABS!G:G,"")</f>
        <v>ATIVO</v>
      </c>
      <c r="D27" t="str">
        <f>_xlfn.XLOOKUP(Tabela11[[#This Row],[COLABORADOR]],COLABS!A:A,COLABS!F:F,"")</f>
        <v>COBRANÇA_GERAL</v>
      </c>
    </row>
    <row r="28" spans="2:4" x14ac:dyDescent="0.3">
      <c r="B28" s="37" t="s">
        <v>56</v>
      </c>
      <c r="C28" t="str">
        <f>_xlfn.XLOOKUP(B28,COLABS!A:A,COLABS!G:G,"")</f>
        <v>ATIVO</v>
      </c>
      <c r="D28" t="str">
        <f>_xlfn.XLOOKUP(Tabela11[[#This Row],[COLABORADOR]],COLABS!A:A,COLABS!F:F,"")</f>
        <v>COBRANÇA_GERAL</v>
      </c>
    </row>
    <row r="29" spans="2:4" x14ac:dyDescent="0.3">
      <c r="B29" s="38" t="s">
        <v>62</v>
      </c>
      <c r="C29" t="str">
        <f>_xlfn.XLOOKUP(B29,COLABS!A:A,COLABS!G:G,"")</f>
        <v>ATIVO</v>
      </c>
      <c r="D29" t="str">
        <f>_xlfn.XLOOKUP(Tabela11[[#This Row],[COLABORADOR]],COLABS!A:A,COLABS!F:F,"")</f>
        <v>COBRANÇA_GERAL</v>
      </c>
    </row>
    <row r="30" spans="2:4" x14ac:dyDescent="0.3">
      <c r="B30" s="37" t="s">
        <v>26</v>
      </c>
      <c r="C30" t="str">
        <f>_xlfn.XLOOKUP(B30,COLABS!A:A,COLABS!G:G,"")</f>
        <v>ATIVO</v>
      </c>
      <c r="D30" t="str">
        <f>_xlfn.XLOOKUP(Tabela11[[#This Row],[COLABORADOR]],COLABS!A:A,COLABS!F:F,"")</f>
        <v>COBRANÇA_GERAL</v>
      </c>
    </row>
    <row r="31" spans="2:4" x14ac:dyDescent="0.3">
      <c r="B31" s="38" t="s">
        <v>48</v>
      </c>
      <c r="C31" t="str">
        <f>_xlfn.XLOOKUP(B31,COLABS!A:A,COLABS!G:G,"")</f>
        <v>ATIVO</v>
      </c>
      <c r="D31" t="str">
        <f>_xlfn.XLOOKUP(Tabela11[[#This Row],[COLABORADOR]],COLABS!A:A,COLABS!F:F,"")</f>
        <v>COBRANÇA_GERAL</v>
      </c>
    </row>
    <row r="32" spans="2:4" x14ac:dyDescent="0.3">
      <c r="B32" s="37" t="s">
        <v>29</v>
      </c>
      <c r="C32" t="str">
        <f>_xlfn.XLOOKUP(B32,COLABS!A:A,COLABS!G:G,"")</f>
        <v>ATIVO</v>
      </c>
      <c r="D32" t="str">
        <f>_xlfn.XLOOKUP(Tabela11[[#This Row],[COLABORADOR]],COLABS!A:A,COLABS!F:F,"")</f>
        <v>COBRANÇA_GERAL</v>
      </c>
    </row>
    <row r="33" spans="2:4" x14ac:dyDescent="0.3">
      <c r="B33" s="38" t="s">
        <v>12</v>
      </c>
      <c r="C33" t="str">
        <f>_xlfn.XLOOKUP(B33,COLABS!A:A,COLABS!G:G,"")</f>
        <v>ATIVO</v>
      </c>
      <c r="D33" t="str">
        <f>_xlfn.XLOOKUP(Tabela11[[#This Row],[COLABORADOR]],COLABS!A:A,COLABS!F:F,"")</f>
        <v>COBRANÇA_GERAL</v>
      </c>
    </row>
    <row r="34" spans="2:4" x14ac:dyDescent="0.3">
      <c r="B34" s="37" t="s">
        <v>54</v>
      </c>
      <c r="C34" t="str">
        <f>_xlfn.XLOOKUP(B34,COLABS!A:A,COLABS!G:G,"")</f>
        <v>ATIVO</v>
      </c>
      <c r="D34" t="str">
        <f>_xlfn.XLOOKUP(Tabela11[[#This Row],[COLABORADOR]],COLABS!A:A,COLABS!F:F,"")</f>
        <v>COBRANÇA_GERAL</v>
      </c>
    </row>
    <row r="35" spans="2:4" x14ac:dyDescent="0.3">
      <c r="B35" s="38" t="s">
        <v>11</v>
      </c>
      <c r="C35" t="str">
        <f>_xlfn.XLOOKUP(B35,COLABS!A:A,COLABS!G:G,"")</f>
        <v>ATIVO</v>
      </c>
      <c r="D35" t="str">
        <f>_xlfn.XLOOKUP(Tabela11[[#This Row],[COLABORADOR]],COLABS!A:A,COLABS!F:F,"")</f>
        <v>COBRANÇA_GERAL</v>
      </c>
    </row>
    <row r="36" spans="2:4" x14ac:dyDescent="0.3">
      <c r="B36" s="37" t="s">
        <v>28</v>
      </c>
      <c r="C36" t="str">
        <f>_xlfn.XLOOKUP(B36,COLABS!A:A,COLABS!G:G,"")</f>
        <v>ATIVO</v>
      </c>
      <c r="D36" t="str">
        <f>_xlfn.XLOOKUP(Tabela11[[#This Row],[COLABORADOR]],COLABS!A:A,COLABS!F:F,"")</f>
        <v>COBRANÇA_GERAL</v>
      </c>
    </row>
    <row r="37" spans="2:4" x14ac:dyDescent="0.3">
      <c r="B37" s="38" t="s">
        <v>16</v>
      </c>
      <c r="C37" t="str">
        <f>_xlfn.XLOOKUP(B37,COLABS!A:A,COLABS!G:G,"")</f>
        <v>ATIVO</v>
      </c>
      <c r="D37" t="str">
        <f>_xlfn.XLOOKUP(Tabela11[[#This Row],[COLABORADOR]],COLABS!A:A,COLABS!F:F,"")</f>
        <v>COBRANÇA_GERAL</v>
      </c>
    </row>
    <row r="38" spans="2:4" x14ac:dyDescent="0.3">
      <c r="B38" s="37" t="s">
        <v>50</v>
      </c>
      <c r="C38" t="str">
        <f>_xlfn.XLOOKUP(B38,COLABS!A:A,COLABS!G:G,"")</f>
        <v>ATIVO</v>
      </c>
      <c r="D38" t="str">
        <f>_xlfn.XLOOKUP(Tabela11[[#This Row],[COLABORADOR]],COLABS!A:A,COLABS!F:F,"")</f>
        <v>COBRANÇA_GERAL</v>
      </c>
    </row>
    <row r="39" spans="2:4" x14ac:dyDescent="0.3">
      <c r="B39" s="38" t="s">
        <v>53</v>
      </c>
      <c r="C39" t="str">
        <f>_xlfn.XLOOKUP(B39,COLABS!A:A,COLABS!G:G,"")</f>
        <v>ATIVO</v>
      </c>
      <c r="D39" t="str">
        <f>_xlfn.XLOOKUP(Tabela11[[#This Row],[COLABORADOR]],COLABS!A:A,COLABS!F:F,"")</f>
        <v>COBRANÇA_GERAL</v>
      </c>
    </row>
    <row r="40" spans="2:4" x14ac:dyDescent="0.3">
      <c r="B40" s="37" t="s">
        <v>25</v>
      </c>
      <c r="C40" t="str">
        <f>_xlfn.XLOOKUP(B40,COLABS!A:A,COLABS!G:G,"")</f>
        <v>ATIVO</v>
      </c>
      <c r="D40" t="str">
        <f>_xlfn.XLOOKUP(Tabela11[[#This Row],[COLABORADOR]],COLABS!A:A,COLABS!F:F,"")</f>
        <v>COBRANÇA_GERAL</v>
      </c>
    </row>
    <row r="41" spans="2:4" hidden="1" x14ac:dyDescent="0.3">
      <c r="B41" s="38" t="s">
        <v>18</v>
      </c>
      <c r="C41" t="str">
        <f>_xlfn.XLOOKUP(B41,COLABS!A:A,COLABS!G:G,"")</f>
        <v>AFASTADO</v>
      </c>
      <c r="D41" t="str">
        <f>_xlfn.XLOOKUP(Tabela11[[#This Row],[COLABORADOR]],COLABS!A:A,COLABS!F:F,"")</f>
        <v>COBRANÇA_GERAL</v>
      </c>
    </row>
    <row r="42" spans="2:4" x14ac:dyDescent="0.3">
      <c r="B42" s="37" t="s">
        <v>55</v>
      </c>
      <c r="C42" t="str">
        <f>_xlfn.XLOOKUP(B42,COLABS!A:A,COLABS!G:G,"")</f>
        <v>ATIVO</v>
      </c>
      <c r="D42" t="str">
        <f>_xlfn.XLOOKUP(Tabela11[[#This Row],[COLABORADOR]],COLABS!A:A,COLABS!F:F,"")</f>
        <v>COBRANÇA_GERAL</v>
      </c>
    </row>
    <row r="43" spans="2:4" x14ac:dyDescent="0.3">
      <c r="B43" s="38" t="s">
        <v>17</v>
      </c>
      <c r="C43" t="str">
        <f>_xlfn.XLOOKUP(B43,COLABS!A:A,COLABS!G:G,"")</f>
        <v>ATIVO</v>
      </c>
      <c r="D43" t="str">
        <f>_xlfn.XLOOKUP(Tabela11[[#This Row],[COLABORADOR]],COLABS!A:A,COLABS!F:F,"")</f>
        <v>COBRANÇA_GERAL</v>
      </c>
    </row>
    <row r="44" spans="2:4" hidden="1" x14ac:dyDescent="0.3">
      <c r="B44" s="37" t="s">
        <v>14</v>
      </c>
      <c r="C44" t="str">
        <f>_xlfn.XLOOKUP(B44,COLABS!A:A,COLABS!G:G,"")</f>
        <v>ATIVO</v>
      </c>
      <c r="D44" t="str">
        <f>_xlfn.XLOOKUP(Tabela11[[#This Row],[COLABORADOR]],COLABS!A:A,COLABS!F:F,"")</f>
        <v>MARCOS</v>
      </c>
    </row>
    <row r="45" spans="2:4" hidden="1" x14ac:dyDescent="0.3">
      <c r="B45" s="38" t="s">
        <v>36</v>
      </c>
      <c r="C45" t="str">
        <f>_xlfn.XLOOKUP(B45,COLABS!A:A,COLABS!G:G,"")</f>
        <v>ATIVO</v>
      </c>
      <c r="D45" t="str">
        <f>_xlfn.XLOOKUP(Tabela11[[#This Row],[COLABORADOR]],COLABS!A:A,COLABS!F:F,"")</f>
        <v>MARCOS</v>
      </c>
    </row>
    <row r="46" spans="2:4" hidden="1" x14ac:dyDescent="0.3">
      <c r="B46" s="37" t="s">
        <v>37</v>
      </c>
      <c r="C46" t="str">
        <f>_xlfn.XLOOKUP(B46,COLABS!A:A,COLABS!G:G,"")</f>
        <v>ATIVO</v>
      </c>
      <c r="D46" t="str">
        <f>_xlfn.XLOOKUP(Tabela11[[#This Row],[COLABORADOR]],COLABS!A:A,COLABS!F:F,"")</f>
        <v>MARCOS</v>
      </c>
    </row>
    <row r="47" spans="2:4" hidden="1" x14ac:dyDescent="0.3">
      <c r="B47" s="38" t="s">
        <v>5</v>
      </c>
      <c r="C47" t="str">
        <f>_xlfn.XLOOKUP(B47,COLABS!A:A,COLABS!G:G,"")</f>
        <v>AFASTADO</v>
      </c>
      <c r="D47" t="str">
        <f>_xlfn.XLOOKUP(Tabela11[[#This Row],[COLABORADOR]],COLABS!A:A,COLABS!F:F,"")</f>
        <v>Telecobrança</v>
      </c>
    </row>
    <row r="48" spans="2:4" hidden="1" x14ac:dyDescent="0.3">
      <c r="B48" s="37" t="s">
        <v>32</v>
      </c>
      <c r="C48" t="str">
        <f>_xlfn.XLOOKUP(B48,COLABS!A:A,COLABS!G:G,"")</f>
        <v>ATIVO</v>
      </c>
      <c r="D48" t="str">
        <f>_xlfn.XLOOKUP(Tabela11[[#This Row],[COLABORADOR]],COLABS!A:A,COLABS!F:F,"")</f>
        <v>MARCOS</v>
      </c>
    </row>
    <row r="49" spans="2:4" hidden="1" x14ac:dyDescent="0.3">
      <c r="B49" s="38" t="s">
        <v>64</v>
      </c>
      <c r="C49" t="str">
        <f>_xlfn.XLOOKUP(B49,COLABS!A:A,COLABS!G:G,"")</f>
        <v>ATIVO</v>
      </c>
      <c r="D49" t="str">
        <f>_xlfn.XLOOKUP(Tabela11[[#This Row],[COLABORADOR]],COLABS!A:A,COLABS!F:F,"")</f>
        <v>MARCOS</v>
      </c>
    </row>
    <row r="50" spans="2:4" hidden="1" x14ac:dyDescent="0.3">
      <c r="B50" s="37" t="s">
        <v>33</v>
      </c>
      <c r="C50" t="str">
        <f>_xlfn.XLOOKUP(B50,COLABS!A:A,COLABS!G:G,"")</f>
        <v>ATIVO</v>
      </c>
      <c r="D50" t="str">
        <f>_xlfn.XLOOKUP(Tabela11[[#This Row],[COLABORADOR]],COLABS!A:A,COLABS!F:F,"")</f>
        <v>MARCOS</v>
      </c>
    </row>
    <row r="51" spans="2:4" hidden="1" x14ac:dyDescent="0.3">
      <c r="B51" s="38" t="s">
        <v>38</v>
      </c>
      <c r="C51" t="str">
        <f>_xlfn.XLOOKUP(B51,COLABS!A:A,COLABS!G:G,"")</f>
        <v>ATIVO</v>
      </c>
      <c r="D51" t="str">
        <f>_xlfn.XLOOKUP(Tabela11[[#This Row],[COLABORADOR]],COLABS!A:A,COLABS!F:F,"")</f>
        <v>MARCOS</v>
      </c>
    </row>
    <row r="52" spans="2:4" hidden="1" x14ac:dyDescent="0.3">
      <c r="B52" s="37" t="s">
        <v>34</v>
      </c>
      <c r="C52" t="str">
        <f>_xlfn.XLOOKUP(B52,COLABS!A:A,COLABS!G:G,"")</f>
        <v>ATIVO</v>
      </c>
      <c r="D52" t="str">
        <f>_xlfn.XLOOKUP(Tabela11[[#This Row],[COLABORADOR]],COLABS!A:A,COLABS!F:F,"")</f>
        <v>MARCOS</v>
      </c>
    </row>
    <row r="53" spans="2:4" x14ac:dyDescent="0.3">
      <c r="B53" s="38" t="s">
        <v>6</v>
      </c>
      <c r="C53" t="str">
        <f>_xlfn.XLOOKUP(B53,COLABS!A:A,COLABS!G:G,"")</f>
        <v>ATIVO</v>
      </c>
      <c r="D53" t="str">
        <f>_xlfn.XLOOKUP(Tabela11[[#This Row],[COLABORADOR]],COLABS!A:A,COLABS!F:F,"")</f>
        <v>COBRANÇA_GERAL</v>
      </c>
    </row>
    <row r="54" spans="2:4" x14ac:dyDescent="0.3">
      <c r="B54" s="37" t="s">
        <v>46</v>
      </c>
      <c r="C54" t="str">
        <f>_xlfn.XLOOKUP(B54,COLABS!A:A,COLABS!G:G,"")</f>
        <v>ATIVO</v>
      </c>
      <c r="D54" t="str">
        <f>_xlfn.XLOOKUP(Tabela11[[#This Row],[COLABORADOR]],COLABS!A:A,COLABS!F:F,"")</f>
        <v>COBRANÇA_GERAL</v>
      </c>
    </row>
    <row r="55" spans="2:4" x14ac:dyDescent="0.3">
      <c r="B55" s="38" t="s">
        <v>39</v>
      </c>
      <c r="C55" t="str">
        <f>_xlfn.XLOOKUP(B55,COLABS!A:A,COLABS!G:G,"")</f>
        <v>ATIVO</v>
      </c>
      <c r="D55" t="str">
        <f>_xlfn.XLOOKUP(Tabela11[[#This Row],[COLABORADOR]],COLABS!A:A,COLABS!F:F,"")</f>
        <v>COBRANÇA_GERAL</v>
      </c>
    </row>
    <row r="56" spans="2:4" x14ac:dyDescent="0.3">
      <c r="B56" s="37" t="s">
        <v>35</v>
      </c>
      <c r="C56" t="str">
        <f>_xlfn.XLOOKUP(B56,COLABS!A:A,COLABS!G:G,"")</f>
        <v>ATIVO</v>
      </c>
      <c r="D56" t="str">
        <f>_xlfn.XLOOKUP(Tabela11[[#This Row],[COLABORADOR]],COLABS!A:A,COLABS!F:F,"")</f>
        <v>COBRANÇA_GERAL</v>
      </c>
    </row>
    <row r="57" spans="2:4" x14ac:dyDescent="0.3">
      <c r="B57" s="38" t="s">
        <v>49</v>
      </c>
      <c r="C57" t="str">
        <f>_xlfn.XLOOKUP(B57,COLABS!A:A,COLABS!G:G,"")</f>
        <v>ATIVO</v>
      </c>
      <c r="D57" t="str">
        <f>_xlfn.XLOOKUP(Tabela11[[#This Row],[COLABORADOR]],COLABS!A:A,COLABS!F:F,"")</f>
        <v>COBRANÇA_GERAL</v>
      </c>
    </row>
    <row r="58" spans="2:4" x14ac:dyDescent="0.3">
      <c r="B58" s="37" t="s">
        <v>59</v>
      </c>
      <c r="C58" t="str">
        <f>_xlfn.XLOOKUP(B58,COLABS!A:A,COLABS!G:G,"")</f>
        <v>ATIVO</v>
      </c>
      <c r="D58" t="str">
        <f>_xlfn.XLOOKUP(Tabela11[[#This Row],[COLABORADOR]],COLABS!A:A,COLABS!F:F,"")</f>
        <v>COBRANÇA_GERAL</v>
      </c>
    </row>
    <row r="59" spans="2:4" hidden="1" x14ac:dyDescent="0.3">
      <c r="B59" s="38" t="s">
        <v>40</v>
      </c>
      <c r="C59" t="str">
        <f>_xlfn.XLOOKUP(B59,COLABS!A:A,COLABS!G:G,"")</f>
        <v>ATIVO</v>
      </c>
      <c r="D59" t="str">
        <f>_xlfn.XLOOKUP(Tabela11[[#This Row],[COLABORADOR]],COLABS!A:A,COLABS!F:F,"")</f>
        <v>Telecobrança</v>
      </c>
    </row>
    <row r="60" spans="2:4" hidden="1" x14ac:dyDescent="0.3">
      <c r="B60" s="37" t="s">
        <v>20</v>
      </c>
      <c r="C60" t="str">
        <f>_xlfn.XLOOKUP(B60,COLABS!A:A,COLABS!G:G,"")</f>
        <v>ATIVO</v>
      </c>
      <c r="D60" t="str">
        <f>_xlfn.XLOOKUP(Tabela11[[#This Row],[COLABORADOR]],COLABS!A:A,COLABS!F:F,"")</f>
        <v>Telecobrança</v>
      </c>
    </row>
    <row r="61" spans="2:4" hidden="1" x14ac:dyDescent="0.3">
      <c r="B61" s="38" t="s">
        <v>96</v>
      </c>
      <c r="C61" t="str">
        <f>_xlfn.XLOOKUP(B61,COLABS!A:A,COLABS!G:G,"")</f>
        <v>ATIVO</v>
      </c>
      <c r="D61" t="str">
        <f>_xlfn.XLOOKUP(Tabela11[[#This Row],[COLABORADOR]],COLABS!A:A,COLABS!F:F,"")</f>
        <v>MARCOS</v>
      </c>
    </row>
    <row r="62" spans="2:4" hidden="1" x14ac:dyDescent="0.3">
      <c r="B62" s="37" t="s">
        <v>97</v>
      </c>
      <c r="C62" t="str">
        <f>_xlfn.XLOOKUP(B62,COLABS!A:A,COLABS!G:G,"")</f>
        <v>ATIVO</v>
      </c>
      <c r="D62" t="str">
        <f>_xlfn.XLOOKUP(Tabela11[[#This Row],[COLABORADOR]],COLABS!A:A,COLABS!F:F,"")</f>
        <v>MARCOS</v>
      </c>
    </row>
    <row r="63" spans="2:4" hidden="1" x14ac:dyDescent="0.3">
      <c r="B63" s="38" t="s">
        <v>98</v>
      </c>
      <c r="C63" t="str">
        <f>_xlfn.XLOOKUP(B63,COLABS!A:A,COLABS!G:G,"")</f>
        <v>ATIVO</v>
      </c>
      <c r="D63" t="str">
        <f>_xlfn.XLOOKUP(Tabela11[[#This Row],[COLABORADOR]],COLABS!A:A,COLABS!F:F,"")</f>
        <v>MARCOS</v>
      </c>
    </row>
    <row r="64" spans="2:4" x14ac:dyDescent="0.3">
      <c r="B64" s="37" t="s">
        <v>15</v>
      </c>
      <c r="C64" t="str">
        <f>_xlfn.XLOOKUP(B64,COLABS!A:A,COLABS!G:G,"")</f>
        <v>ATIVO</v>
      </c>
      <c r="D64" t="str">
        <f>_xlfn.XLOOKUP(Tabela11[[#This Row],[COLABORADOR]],COLABS!A:A,COLABS!F:F,"")</f>
        <v>COBRANÇA_GERAL</v>
      </c>
    </row>
    <row r="65" spans="2:4" x14ac:dyDescent="0.3">
      <c r="B65" s="38" t="s">
        <v>65</v>
      </c>
      <c r="C65" t="str">
        <f>_xlfn.XLOOKUP(B65,COLABS!A:A,COLABS!G:G,"")</f>
        <v>ATIVO</v>
      </c>
      <c r="D65" t="str">
        <f>_xlfn.XLOOKUP(Tabela11[[#This Row],[COLABORADOR]],COLABS!A:A,COLABS!F:F,"")</f>
        <v>COBRANÇA_GERAL</v>
      </c>
    </row>
    <row r="66" spans="2:4" x14ac:dyDescent="0.3">
      <c r="B66" s="37" t="s">
        <v>27</v>
      </c>
      <c r="C66" t="str">
        <f>_xlfn.XLOOKUP(B66,COLABS!A:A,COLABS!G:G,"")</f>
        <v>ATIVO</v>
      </c>
      <c r="D66" t="str">
        <f>_xlfn.XLOOKUP(Tabela11[[#This Row],[COLABORADOR]],COLABS!A:A,COLABS!F:F,"")</f>
        <v>COBRANÇA_GERAL</v>
      </c>
    </row>
    <row r="67" spans="2:4" x14ac:dyDescent="0.3">
      <c r="B67" s="12" t="s">
        <v>31</v>
      </c>
      <c r="C67" t="str">
        <f>_xlfn.XLOOKUP(B67,COLABS!A:A,COLABS!G:G,"")</f>
        <v>ATIVO</v>
      </c>
      <c r="D67" t="str">
        <f>_xlfn.XLOOKUP(Tabela11[[#This Row],[COLABORADOR]],COLABS!A:A,COLABS!F:F,"")</f>
        <v>COBRANÇA_GERAL</v>
      </c>
    </row>
    <row r="68" spans="2:4" x14ac:dyDescent="0.3">
      <c r="B68" s="42" t="s">
        <v>61</v>
      </c>
      <c r="C68" t="str">
        <f>_xlfn.XLOOKUP(B68,COLABS!A:A,COLABS!G:G,"")</f>
        <v>ATIVO</v>
      </c>
      <c r="D68" t="str">
        <f>_xlfn.XLOOKUP(Tabela11[[#This Row],[COLABORADOR]],COLABS!A:A,COLABS!F:F,"")</f>
        <v>COBRANÇA_GERAL</v>
      </c>
    </row>
    <row r="69" spans="2:4" x14ac:dyDescent="0.3">
      <c r="B69" s="43" t="s">
        <v>13</v>
      </c>
      <c r="C69" t="str">
        <f>_xlfn.XLOOKUP(B69,COLABS!A:A,COLABS!G:G,"")</f>
        <v>ATIVO</v>
      </c>
      <c r="D69" t="str">
        <f>_xlfn.XLOOKUP(Tabela11[[#This Row],[COLABORADOR]],COLABS!A:A,COLABS!F:F,"")</f>
        <v>COBRANÇA_GERAL</v>
      </c>
    </row>
  </sheetData>
  <conditionalFormatting sqref="A2:A7">
    <cfRule type="duplicateValues" dxfId="12" priority="9"/>
  </conditionalFormatting>
  <conditionalFormatting sqref="A7">
    <cfRule type="duplicateValues" dxfId="11" priority="8"/>
  </conditionalFormatting>
  <conditionalFormatting sqref="A8:A9">
    <cfRule type="duplicateValues" dxfId="10" priority="7"/>
  </conditionalFormatting>
  <conditionalFormatting sqref="B2:B69">
    <cfRule type="duplicateValues" dxfId="9" priority="6"/>
  </conditionalFormatting>
  <conditionalFormatting sqref="B2:B69">
    <cfRule type="duplicateValues" dxfId="8" priority="1"/>
  </conditionalFormatting>
  <conditionalFormatting sqref="B38:B58">
    <cfRule type="duplicateValues" dxfId="7" priority="5"/>
  </conditionalFormatting>
  <conditionalFormatting sqref="B59:B64">
    <cfRule type="duplicateValues" dxfId="6" priority="4"/>
  </conditionalFormatting>
  <conditionalFormatting sqref="B64">
    <cfRule type="duplicateValues" dxfId="5" priority="3"/>
  </conditionalFormatting>
  <conditionalFormatting sqref="B65:B66">
    <cfRule type="duplicateValues" dxfId="4" priority="2"/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44417D-F156-40F5-9A5E-D425479220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COLABS</vt:lpstr>
      <vt:lpstr>AVANC</vt:lpstr>
      <vt:lpstr>INÍCIO</vt:lpstr>
      <vt:lpstr>Planilha1</vt:lpstr>
      <vt:lpstr>MARCOS</vt:lpstr>
      <vt:lpstr>ADOILSON LIMA DO NASCIMENTO</vt:lpstr>
      <vt:lpstr>ANGELYCA FRANÇA DE OLIVEIRA</vt:lpstr>
      <vt:lpstr>ERICE RENATO NAVARROS OPIMI</vt:lpstr>
      <vt:lpstr>GENILSON FELICIO</vt:lpstr>
      <vt:lpstr>GUSTAVO LAGO DO NASCIMENTO</vt:lpstr>
      <vt:lpstr>SABRINA RIBEIRO DIAS</vt:lpstr>
      <vt:lpstr>AMANDA - DIEGO - TELE</vt:lpstr>
      <vt:lpstr>TODOS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DANILO PACHECO</dc:creator>
  <cp:lastModifiedBy>VICTOR HUGO ZANELLA DIAS</cp:lastModifiedBy>
  <dcterms:created xsi:type="dcterms:W3CDTF">2023-12-13T11:16:31Z</dcterms:created>
  <dcterms:modified xsi:type="dcterms:W3CDTF">2024-02-07T13:45:52Z</dcterms:modified>
</cp:coreProperties>
</file>